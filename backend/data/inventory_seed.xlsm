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tables/table7.xml" ContentType="application/vnd.openxmlformats-officedocument.spreadsheetml.table+xml"/>
  <Override PartName="/xl/worksheets/sheet10.xml" ContentType="application/vnd.openxmlformats-officedocument.spreadsheetml.worksheet+xml"/>
  <Override PartName="/xl/tables/table8.xml" ContentType="application/vnd.openxmlformats-officedocument.spreadsheetml.table+xml"/>
  <Override PartName="/xl/worksheets/sheet11.xml" ContentType="application/vnd.openxmlformats-officedocument.spreadsheetml.worksheet+xml"/>
  <Override PartName="/xl/tables/table9.xml" ContentType="application/vnd.openxmlformats-officedocument.spreadsheetml.table+xml"/>
  <Override PartName="/xl/worksheets/sheet12.xml" ContentType="application/vnd.openxmlformats-officedocument.spreadsheetml.worksheet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sheets>
    <sheet xmlns:r="http://schemas.openxmlformats.org/officeDocument/2006/relationships" name="README" sheetId="1" state="visible" r:id="rId1"/>
    <sheet xmlns:r="http://schemas.openxmlformats.org/officeDocument/2006/relationships" name="SETTINGS" sheetId="2" state="visible" r:id="rId2"/>
    <sheet xmlns:r="http://schemas.openxmlformats.org/officeDocument/2006/relationships" name="MASTER" sheetId="3" state="visible" r:id="rId3"/>
    <sheet xmlns:r="http://schemas.openxmlformats.org/officeDocument/2006/relationships" name="BEBESWEETS" sheetId="4" state="visible" r:id="rId4"/>
    <sheet xmlns:r="http://schemas.openxmlformats.org/officeDocument/2006/relationships" name="BEBENTO" sheetId="5" state="visible" r:id="rId5"/>
    <sheet xmlns:r="http://schemas.openxmlformats.org/officeDocument/2006/relationships" name="BEBEEATS" sheetId="6" state="visible" r:id="rId6"/>
    <sheet xmlns:r="http://schemas.openxmlformats.org/officeDocument/2006/relationships" name="BEBEPLAYS" sheetId="7" state="visible" r:id="rId7"/>
    <sheet xmlns:r="http://schemas.openxmlformats.org/officeDocument/2006/relationships" name="BEBECATS" sheetId="8" state="visible" r:id="rId8"/>
    <sheet xmlns:r="http://schemas.openxmlformats.org/officeDocument/2006/relationships" name="BEBEDOGS" sheetId="9" state="visible" r:id="rId9"/>
    <sheet xmlns:r="http://schemas.openxmlformats.org/officeDocument/2006/relationships" name="BEBEMONS" sheetId="10" state="visible" r:id="rId10"/>
    <sheet xmlns:r="http://schemas.openxmlformats.org/officeDocument/2006/relationships" name="BEBESAURS" sheetId="11" state="visible" r:id="rId11"/>
    <sheet xmlns:r="http://schemas.openxmlformats.org/officeDocument/2006/relationships" name="ALL_SKUS" sheetId="12" state="visible" r:id="rId1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3">
    <font>
      <name val="Calibri"/>
      <color theme="1"/>
      <sz val="11"/>
      <scheme val="minor"/>
    </font>
    <font>
      <name val="Calibri"/>
      <b val="1"/>
      <color rgb="FFFFFFFF"/>
      <sz val="14"/>
      <scheme val="minor"/>
    </font>
    <font/>
    <font>
      <name val="Calibri"/>
      <color theme="1"/>
      <scheme val="minor"/>
    </font>
    <font>
      <name val="Calibri"/>
      <b val="1"/>
      <color rgb="FFFFFFFF"/>
      <sz val="11"/>
      <scheme val="minor"/>
    </font>
    <font>
      <name val="Calibri"/>
      <color rgb="FF666666"/>
      <scheme val="minor"/>
    </font>
    <font>
      <name val="Calibri"/>
      <color theme="1"/>
      <sz val="11"/>
    </font>
    <font>
      <name val="Calibri"/>
      <b val="1"/>
      <color rgb="FF000000"/>
      <scheme val="minor"/>
    </font>
    <font>
      <name val="Calibri"/>
      <color rgb="FF7030A0"/>
      <scheme val="minor"/>
    </font>
    <font>
      <name val="Calibri"/>
      <b val="1"/>
      <color theme="1"/>
      <sz val="12"/>
      <scheme val="minor"/>
    </font>
    <font>
      <name val="Calibri"/>
      <color rgb="FF000000"/>
      <scheme val="minor"/>
    </font>
    <font>
      <name val="Calibri"/>
      <color rgb="FF0000FF"/>
      <scheme val="minor"/>
    </font>
    <font>
      <name val="Calibri"/>
      <color rgb="FF008000"/>
      <scheme val="minor"/>
    </font>
  </fonts>
  <fills count="10">
    <fill>
      <patternFill/>
    </fill>
    <fill>
      <patternFill patternType="lightGray"/>
    </fill>
    <fill>
      <patternFill patternType="solid">
        <fgColor rgb="FF6F42C1"/>
        <bgColor rgb="FF6F42C1"/>
      </patternFill>
    </fill>
    <fill>
      <patternFill patternType="solid">
        <fgColor rgb="FF1F4E78"/>
        <bgColor rgb="FF1F4E78"/>
      </patternFill>
    </fill>
    <fill>
      <patternFill patternType="solid">
        <fgColor rgb="FFEADCF8"/>
        <bgColor rgb="FFEADCF8"/>
      </patternFill>
    </fill>
    <fill>
      <patternFill patternType="solid">
        <fgColor rgb="FFFFF2CC"/>
        <bgColor rgb="FFFFF2CC"/>
      </patternFill>
    </fill>
    <fill>
      <patternFill patternType="solid">
        <fgColor rgb="FFF3F3F3"/>
        <bgColor rgb="FFF3F3F3"/>
      </patternFill>
    </fill>
    <fill>
      <patternFill patternType="solid">
        <fgColor rgb="FFDDEBF7"/>
        <bgColor rgb="FFDDEBF7"/>
      </patternFill>
    </fill>
    <fill>
      <patternFill patternType="solid">
        <fgColor rgb="FFEAF3FF"/>
        <bgColor rgb="FFEAF3FF"/>
      </patternFill>
    </fill>
    <fill>
      <patternFill patternType="solid">
        <fgColor rgb="FFE2F0D9"/>
        <bgColor rgb="FFE2F0D9"/>
      </patternFill>
    </fill>
  </fills>
  <borders count="7">
    <border/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bottom style="thin">
        <color rgb="FFD9D9D9"/>
      </bottom>
    </border>
    <border>
      <bottom style="medium">
        <color rgb="FF808080"/>
      </bottom>
    </border>
  </borders>
  <cellStyleXfs count="1">
    <xf numFmtId="0" fontId="0" fillId="0" borderId="0"/>
  </cellStyleXfs>
  <cellXfs count="53">
    <xf numFmtId="0" fontId="0" fillId="0" borderId="0" applyAlignment="1" pivotButton="0" quotePrefix="0" xfId="0">
      <alignment vertical="bottom"/>
    </xf>
    <xf numFmtId="0" fontId="1" fillId="2" borderId="1" applyAlignment="1" pivotButton="0" quotePrefix="0" xfId="0">
      <alignment horizontal="left" vertical="center"/>
    </xf>
    <xf numFmtId="0" fontId="2" fillId="0" borderId="2" pivotButton="0" quotePrefix="0" xfId="0"/>
    <xf numFmtId="0" fontId="2" fillId="0" borderId="3" pivotButton="0" quotePrefix="0" xfId="0"/>
    <xf numFmtId="0" fontId="3" fillId="0" borderId="0" pivotButton="0" quotePrefix="0" xfId="0"/>
    <xf numFmtId="0" fontId="4" fillId="3" borderId="1" pivotButton="0" quotePrefix="0" xfId="0"/>
    <xf numFmtId="0" fontId="5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left" vertical="center"/>
    </xf>
    <xf numFmtId="0" fontId="1" fillId="2" borderId="1" pivotButton="0" quotePrefix="0" xfId="0"/>
    <xf numFmtId="0" fontId="3" fillId="0" borderId="0" applyAlignment="1" pivotButton="0" quotePrefix="0" xfId="0">
      <alignment horizontal="left"/>
    </xf>
    <xf numFmtId="0" fontId="7" fillId="4" borderId="4" pivotButton="0" quotePrefix="0" xfId="0"/>
    <xf numFmtId="0" fontId="8" fillId="5" borderId="4" applyAlignment="1" pivotButton="0" quotePrefix="0" xfId="0">
      <alignment horizontal="left"/>
    </xf>
    <xf numFmtId="0" fontId="7" fillId="4" borderId="4" applyAlignment="1" pivotButton="0" quotePrefix="0" xfId="0">
      <alignment horizontal="left" vertical="center"/>
    </xf>
    <xf numFmtId="0" fontId="8" fillId="5" borderId="4" applyAlignment="1" pivotButton="0" quotePrefix="0" xfId="0">
      <alignment horizontal="left" vertical="center"/>
    </xf>
    <xf numFmtId="0" fontId="5" fillId="6" borderId="1" pivotButton="0" quotePrefix="0" xfId="0"/>
    <xf numFmtId="0" fontId="6" fillId="0" borderId="5" pivotButton="0" quotePrefix="0" xfId="0"/>
    <xf numFmtId="0" fontId="6" fillId="0" borderId="5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9" fillId="7" borderId="1" applyAlignment="1" pivotButton="0" quotePrefix="0" xfId="0">
      <alignment horizontal="left" vertical="center"/>
    </xf>
    <xf numFmtId="0" fontId="9" fillId="7" borderId="1" applyAlignment="1" pivotButton="0" quotePrefix="0" xfId="0">
      <alignment horizontal="center" vertical="center"/>
    </xf>
    <xf numFmtId="0" fontId="7" fillId="4" borderId="4" applyAlignment="1" pivotButton="0" quotePrefix="0" xfId="0">
      <alignment horizontal="left" vertical="center"/>
    </xf>
    <xf numFmtId="0" fontId="7" fillId="4" borderId="4" applyAlignment="1" pivotButton="0" quotePrefix="0" xfId="0">
      <alignment horizontal="center" vertical="center"/>
    </xf>
    <xf numFmtId="0" fontId="7" fillId="4" borderId="4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1" fontId="6" fillId="0" borderId="0" applyAlignment="1" pivotButton="0" quotePrefix="0" xfId="0">
      <alignment horizontal="left" vertical="center"/>
    </xf>
    <xf numFmtId="1" fontId="6" fillId="0" borderId="0" applyAlignment="1" pivotButton="0" quotePrefix="0" xfId="0">
      <alignment horizontal="center" vertical="center"/>
    </xf>
    <xf numFmtId="1" fontId="6" fillId="0" borderId="0" applyAlignment="1" pivotButton="0" quotePrefix="0" xfId="0">
      <alignment horizontal="center" vertical="center"/>
    </xf>
    <xf numFmtId="0" fontId="7" fillId="6" borderId="4" applyAlignment="1" pivotButton="0" quotePrefix="0" xfId="0">
      <alignment horizontal="left" vertical="center"/>
    </xf>
    <xf numFmtId="1" fontId="10" fillId="0" borderId="6" applyAlignment="1" pivotButton="0" quotePrefix="0" xfId="0">
      <alignment horizontal="left" vertical="center"/>
    </xf>
    <xf numFmtId="1" fontId="10" fillId="0" borderId="6" applyAlignment="1" pivotButton="0" quotePrefix="0" xfId="0">
      <alignment horizontal="center" vertical="center"/>
    </xf>
    <xf numFmtId="1" fontId="6" fillId="0" borderId="0" applyAlignment="1" pivotButton="0" quotePrefix="0" xfId="0">
      <alignment horizontal="left" vertical="center"/>
    </xf>
    <xf numFmtId="1" fontId="11" fillId="8" borderId="4" applyAlignment="1" pivotButton="0" quotePrefix="0" xfId="0">
      <alignment horizontal="center" vertical="center"/>
    </xf>
    <xf numFmtId="1" fontId="11" fillId="8" borderId="4" applyAlignment="1" pivotButton="0" quotePrefix="0" xfId="0">
      <alignment horizontal="center" vertical="center"/>
    </xf>
    <xf numFmtId="1" fontId="10" fillId="0" borderId="0" applyAlignment="1" pivotButton="0" quotePrefix="0" xfId="0">
      <alignment horizontal="center" vertical="center"/>
    </xf>
    <xf numFmtId="1" fontId="12" fillId="9" borderId="4" applyAlignment="1" pivotButton="0" quotePrefix="0" xfId="0">
      <alignment horizontal="center" vertical="center"/>
    </xf>
    <xf numFmtId="0" fontId="11" fillId="8" borderId="4" applyAlignment="1" pivotButton="0" quotePrefix="0" xfId="0">
      <alignment horizontal="left" vertical="center"/>
    </xf>
    <xf numFmtId="0" fontId="4" fillId="3" borderId="4" applyAlignment="1" pivotButton="0" quotePrefix="0" xfId="0">
      <alignment horizontal="left" vertical="center"/>
    </xf>
    <xf numFmtId="0" fontId="7" fillId="6" borderId="4" applyAlignment="1" pivotButton="0" quotePrefix="0" xfId="0">
      <alignment horizontal="left" vertical="center"/>
    </xf>
    <xf numFmtId="1" fontId="10" fillId="0" borderId="0" applyAlignment="1" pivotButton="0" quotePrefix="0" xfId="0">
      <alignment horizontal="left" vertical="center"/>
    </xf>
    <xf numFmtId="1" fontId="10" fillId="0" borderId="0" applyAlignment="1" pivotButton="0" quotePrefix="0" xfId="0">
      <alignment horizontal="center" vertical="center"/>
    </xf>
    <xf numFmtId="0" fontId="7" fillId="6" borderId="4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2" borderId="4" applyAlignment="1" pivotButton="0" quotePrefix="0" xfId="0">
      <alignment horizontal="left" vertical="center"/>
    </xf>
    <xf numFmtId="0" fontId="4" fillId="3" borderId="4" pivotButton="0" quotePrefix="0" xfId="0"/>
    <xf numFmtId="0" fontId="1" fillId="2" borderId="4" pivotButton="0" quotePrefix="0" xfId="0"/>
    <xf numFmtId="0" fontId="5" fillId="6" borderId="4" pivotButton="0" quotePrefix="0" xfId="0"/>
    <xf numFmtId="0" fontId="4" fillId="3" borderId="4" applyAlignment="1" pivotButton="0" quotePrefix="0" xfId="0">
      <alignment horizontal="center" vertical="center"/>
    </xf>
    <xf numFmtId="0" fontId="9" fillId="7" borderId="4" applyAlignment="1" pivotButton="0" quotePrefix="0" xfId="0">
      <alignment horizontal="left" vertical="center"/>
    </xf>
    <xf numFmtId="0" fontId="9" fillId="7" borderId="4" applyAlignment="1" pivotButton="0" quotePrefix="0" xfId="0">
      <alignment horizontal="center" vertical="center"/>
    </xf>
  </cellXfs>
  <cellStyles count="1">
    <cellStyle name="Normal" xfId="0" builtinId="0"/>
  </cellStyles>
  <dxfs count="7">
    <dxf>
      <font/>
      <fill>
        <patternFill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FFC7CE"/>
          <bgColor rgb="FFFFC7CE"/>
        </patternFill>
      </fill>
      <border/>
    </dxf>
    <dxf>
      <font/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C6EFCE"/>
          <bgColor rgb="FFC6EFCE"/>
        </patternFill>
      </fill>
      <border/>
    </dxf>
  </dxfs>
  <tableStyles count="10" defaultTableStyle="TableStyleMedium9" defaultPivotStyle="PivotStyleLight16">
    <tableStyle name="MASTER-style" pivot="0" count="3">
      <tableStyleElement type="headerRow" dxfId="1"/>
      <tableStyleElement type="firstRowStripe" dxfId="2"/>
      <tableStyleElement type="secondRowStripe" dxfId="3"/>
    </tableStyle>
    <tableStyle name="BEBESWEETS-style" pivot="0" count="3">
      <tableStyleElement type="headerRow" dxfId="1"/>
      <tableStyleElement type="firstRowStripe" dxfId="2"/>
      <tableStyleElement type="secondRowStripe" dxfId="3"/>
    </tableStyle>
    <tableStyle name="BEBENTO-style" pivot="0" count="3">
      <tableStyleElement type="headerRow" dxfId="1"/>
      <tableStyleElement type="firstRowStripe" dxfId="2"/>
      <tableStyleElement type="secondRowStripe" dxfId="3"/>
    </tableStyle>
    <tableStyle name="BEBEEATS-style" pivot="0" count="3">
      <tableStyleElement type="headerRow" dxfId="1"/>
      <tableStyleElement type="firstRowStripe" dxfId="2"/>
      <tableStyleElement type="secondRowStripe" dxfId="3"/>
    </tableStyle>
    <tableStyle name="BEBEPLAYS-style" pivot="0" count="3">
      <tableStyleElement type="headerRow" dxfId="1"/>
      <tableStyleElement type="firstRowStripe" dxfId="2"/>
      <tableStyleElement type="secondRowStripe" dxfId="3"/>
    </tableStyle>
    <tableStyle name="BEBECATS-style" pivot="0" count="3">
      <tableStyleElement type="headerRow" dxfId="1"/>
      <tableStyleElement type="firstRowStripe" dxfId="2"/>
      <tableStyleElement type="secondRowStripe" dxfId="3"/>
    </tableStyle>
    <tableStyle name="BEBEDOGS-style" pivot="0" count="3">
      <tableStyleElement type="headerRow" dxfId="1"/>
      <tableStyleElement type="firstRowStripe" dxfId="2"/>
      <tableStyleElement type="secondRowStripe" dxfId="3"/>
    </tableStyle>
    <tableStyle name="BEBEMONS-style" pivot="0" count="3">
      <tableStyleElement type="headerRow" dxfId="1"/>
      <tableStyleElement type="firstRowStripe" dxfId="2"/>
      <tableStyleElement type="secondRowStripe" dxfId="3"/>
    </tableStyle>
    <tableStyle name="BEBESAURS-style" pivot="0" count="3">
      <tableStyleElement type="headerRow" dxfId="1"/>
      <tableStyleElement type="firstRowStripe" dxfId="2"/>
      <tableStyleElement type="secondRowStripe" dxfId="3"/>
    </tableStyle>
    <tableStyle name="ALL_SKUS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Units on Hand by Category</a:t>
            </a:r>
          </a:p>
        </rich>
      </tx>
      <overlay val="0"/>
    </title>
    <plotArea>
      <layout/>
      <barChart>
        <barDir val="bar"/>
        <grouping val="clustered"/>
        <ser>
          <idx val="0"/>
          <order val="0"/>
          <tx>
            <strRef>
              <f>MASTER!$B$9</f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cmpd="sng">
              <a:solidFill>
                <a:srgbClr val="000000"/>
              </a:solidFill>
              <a:prstDash val="solid"/>
            </a:ln>
          </spPr>
          <cat>
            <strRef>
              <f>MASTER!$A$10:$A$17</f>
            </strRef>
          </cat>
          <val>
            <numRef>
              <f>MASTER!$B$10:$B$17</f>
              <numCache/>
            </numRef>
          </val>
        </ser>
        <gapWidth val="150"/>
        <axId val="1837569270"/>
        <axId val="1141390985"/>
      </barChart>
      <catAx>
        <axId val="1837569270"/>
        <scaling>
          <orientation val="maxMin"/>
        </scaling>
        <delete val="0"/>
        <axPos val="l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Units</a:t>
                </a:r>
              </a:p>
            </rich>
          </tx>
          <overlay val="0"/>
        </title>
        <numFmt formatCode="" sourceLinked="0"/>
        <majorTickMark val="none"/>
        <minorTickMark val="none"/>
        <spPr>
          <a:ln xmlns:a="http://schemas.openxmlformats.org/drawingml/2006/main"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t>None</a:t>
            </a:r>
          </a:p>
        </txPr>
        <crossAx val="1141390985"/>
        <lblOffset val="100"/>
      </catAx>
      <valAx>
        <axId val="1141390985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Category</a:t>
                </a:r>
              </a:p>
            </rich>
          </tx>
          <overlay val="0"/>
        </title>
        <numFmt formatCode="" sourceLinked="0"/>
        <majorTickMark val="none"/>
        <minorTickMark val="none"/>
        <tickLblPos val="nextTo"/>
        <spPr>
          <a:ln xmlns:a="http://schemas.openxmlformats.org/drawingml/2006/main"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t>None</a:t>
            </a:r>
          </a:p>
        </txPr>
        <crossAx val="1837569270"/>
        <crosses val="max"/>
      </valAx>
    </plotArea>
    <legend>
      <legendPos val="r"/>
      <overlay val="0"/>
      <txPr>
        <a:bodyPr xmlns:a="http://schemas.openxmlformats.org/drawingml/2006/main"/>
        <a:lstStyle xmlns:a="http://schemas.openxmlformats.org/drawingml/2006/main"/>
        <a:p xmlns:a="http://schemas.openxmlformats.org/drawingml/2006/main">
          <a:pPr lvl="0">
            <a:defRPr b="0">
              <a:solidFill>
                <a:srgbClr val="1A1A1A"/>
              </a:solidFill>
              <a:latin typeface="+mn-lt"/>
            </a:defRPr>
          </a:pPr>
          <a:r>
            <a:t>None</a:t>
          </a:r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7</col>
      <colOff>0</colOff>
      <row>37</row>
      <rowOff>0</rowOff>
    </from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 fLocksWithSheet="0"/>
  </oneCellAnchor>
</wsDr>
</file>

<file path=xl/tables/table1.xml><?xml version="1.0" encoding="utf-8"?>
<table xmlns="http://schemas.openxmlformats.org/spreadsheetml/2006/main" id="1" name="Table_1" displayName="Table_1" ref="A9:F18" headerRowCount="1">
  <tableColumns count="6">
    <tableColumn id="1" name="Category"/>
    <tableColumn id="2" name="Total Counted"/>
    <tableColumn id="3" name="Original Inventory"/>
    <tableColumn id="4" name="Variance"/>
    <tableColumn id="5" name="Sold Today"/>
    <tableColumn id="6" name="Low Stock SKUs"/>
  </tableColumns>
  <tableStyleInfo name="MASTER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A4:Q29" headerRowCount="1">
  <tableColumns count="17">
    <tableColumn id="1" name="SKU"/>
    <tableColumn id="2" name="Item"/>
    <tableColumn id="3" name="Color / Variant"/>
    <tableColumn id="4" name="Tag"/>
    <tableColumn id="5" name="Display A"/>
    <tableColumn id="6" name="Display B"/>
    <tableColumn id="7" name="Display C"/>
    <tableColumn id="8" name="Back Stock"/>
    <tableColumn id="9" name="Total Counted"/>
    <tableColumn id="10" name="Original Inventory"/>
    <tableColumn id="11" name="Variance vs Original"/>
    <tableColumn id="12" name="Day Start"/>
    <tableColumn id="13" name="Day End"/>
    <tableColumn id="14" name="Sold Today"/>
    <tableColumn id="15" name="Low Stock"/>
    <tableColumn id="16" name="Refill Needed"/>
    <tableColumn id="17" name="Notes"/>
  </tableColumns>
  <tableStyleInfo name="BEBESWEETS-style" showFirstColumn="1" showLastColumn="1" showRowStripes="1" showColumnStripes="0"/>
</table>
</file>

<file path=xl/tables/table3.xml><?xml version="1.0" encoding="utf-8"?>
<table xmlns="http://schemas.openxmlformats.org/spreadsheetml/2006/main" id="3" name="Table_3" displayName="Table_3" ref="A4:Q29" headerRowCount="1">
  <tableColumns count="17">
    <tableColumn id="1" name="SKU"/>
    <tableColumn id="2" name="Item"/>
    <tableColumn id="3" name="Color / Variant"/>
    <tableColumn id="4" name="Tag"/>
    <tableColumn id="5" name="Display A"/>
    <tableColumn id="6" name="Display B"/>
    <tableColumn id="7" name="Display C"/>
    <tableColumn id="8" name="Back Stock"/>
    <tableColumn id="9" name="Total Counted"/>
    <tableColumn id="10" name="Original Inventory"/>
    <tableColumn id="11" name="Variance vs Original"/>
    <tableColumn id="12" name="Day Start"/>
    <tableColumn id="13" name="Day End"/>
    <tableColumn id="14" name="Sold Today"/>
    <tableColumn id="15" name="Low Stock"/>
    <tableColumn id="16" name="Refill Needed"/>
    <tableColumn id="17" name="Notes"/>
  </tableColumns>
  <tableStyleInfo name="BEBENTO-style" showFirstColumn="1" showLastColumn="1" showRowStripes="1" showColumnStripes="0"/>
</table>
</file>

<file path=xl/tables/table4.xml><?xml version="1.0" encoding="utf-8"?>
<table xmlns="http://schemas.openxmlformats.org/spreadsheetml/2006/main" id="4" name="Table_4" displayName="Table_4" ref="A4:Q13" headerRowCount="1">
  <tableColumns count="17">
    <tableColumn id="1" name="SKU"/>
    <tableColumn id="2" name="Item"/>
    <tableColumn id="3" name="Color / Variant"/>
    <tableColumn id="4" name="Tag"/>
    <tableColumn id="5" name="Display A"/>
    <tableColumn id="6" name="Display B"/>
    <tableColumn id="7" name="Display C"/>
    <tableColumn id="8" name="Back Stock"/>
    <tableColumn id="9" name="Total Counted"/>
    <tableColumn id="10" name="Original Inventory"/>
    <tableColumn id="11" name="Variance vs Original"/>
    <tableColumn id="12" name="Day Start"/>
    <tableColumn id="13" name="Day End"/>
    <tableColumn id="14" name="Sold Today"/>
    <tableColumn id="15" name="Low Stock"/>
    <tableColumn id="16" name="Refill Needed"/>
    <tableColumn id="17" name="Notes"/>
  </tableColumns>
  <tableStyleInfo name="BEBEEATS-style" showFirstColumn="1" showLastColumn="1" showRowStripes="1" showColumnStripes="0"/>
</table>
</file>

<file path=xl/tables/table5.xml><?xml version="1.0" encoding="utf-8"?>
<table xmlns="http://schemas.openxmlformats.org/spreadsheetml/2006/main" id="5" name="Table_5" displayName="Table_5" ref="A4:Q25" headerRowCount="1">
  <tableColumns count="17">
    <tableColumn id="1" name="SKU"/>
    <tableColumn id="2" name="Item"/>
    <tableColumn id="3" name="Color / Variant"/>
    <tableColumn id="4" name="Tag"/>
    <tableColumn id="5" name="Display A"/>
    <tableColumn id="6" name="Display B"/>
    <tableColumn id="7" name="Display C"/>
    <tableColumn id="8" name="Back Stock"/>
    <tableColumn id="9" name="Total Counted"/>
    <tableColumn id="10" name="Original Inventory"/>
    <tableColumn id="11" name="Variance vs Original"/>
    <tableColumn id="12" name="Day Start"/>
    <tableColumn id="13" name="Day End"/>
    <tableColumn id="14" name="Sold Today"/>
    <tableColumn id="15" name="Low Stock"/>
    <tableColumn id="16" name="Refill Needed"/>
    <tableColumn id="17" name="Notes"/>
  </tableColumns>
  <tableStyleInfo name="BEBEPLAYS-style" showFirstColumn="1" showLastColumn="1" showRowStripes="1" showColumnStripes="0"/>
</table>
</file>

<file path=xl/tables/table6.xml><?xml version="1.0" encoding="utf-8"?>
<table xmlns="http://schemas.openxmlformats.org/spreadsheetml/2006/main" id="6" name="Table_6" displayName="Table_6" ref="A4:Q22" headerRowCount="1">
  <tableColumns count="17">
    <tableColumn id="1" name="SKU"/>
    <tableColumn id="2" name="Item"/>
    <tableColumn id="3" name="Color / Variant"/>
    <tableColumn id="4" name="Tag"/>
    <tableColumn id="5" name="Display A"/>
    <tableColumn id="6" name="Display B"/>
    <tableColumn id="7" name="Display C"/>
    <tableColumn id="8" name="Back Stock"/>
    <tableColumn id="9" name="Total Counted"/>
    <tableColumn id="10" name="Original Inventory"/>
    <tableColumn id="11" name="Variance vs Original"/>
    <tableColumn id="12" name="Day Start"/>
    <tableColumn id="13" name="Day End"/>
    <tableColumn id="14" name="Sold Today"/>
    <tableColumn id="15" name="Low Stock"/>
    <tableColumn id="16" name="Refill Needed"/>
    <tableColumn id="17" name="Notes"/>
  </tableColumns>
  <tableStyleInfo name="BEBECATS-style" showFirstColumn="1" showLastColumn="1" showRowStripes="1" showColumnStripes="0"/>
</table>
</file>

<file path=xl/tables/table7.xml><?xml version="1.0" encoding="utf-8"?>
<table xmlns="http://schemas.openxmlformats.org/spreadsheetml/2006/main" id="7" name="Table_7" displayName="Table_7" ref="A4:Q20" headerRowCount="1">
  <tableColumns count="17">
    <tableColumn id="1" name="SKU"/>
    <tableColumn id="2" name="Item"/>
    <tableColumn id="3" name="Color / Variant"/>
    <tableColumn id="4" name="Tag"/>
    <tableColumn id="5" name="Display A"/>
    <tableColumn id="6" name="Display B"/>
    <tableColumn id="7" name="Display C"/>
    <tableColumn id="8" name="Back Stock"/>
    <tableColumn id="9" name="Total Counted"/>
    <tableColumn id="10" name="Original Inventory"/>
    <tableColumn id="11" name="Variance vs Original"/>
    <tableColumn id="12" name="Day Start"/>
    <tableColumn id="13" name="Day End"/>
    <tableColumn id="14" name="Sold Today"/>
    <tableColumn id="15" name="Low Stock"/>
    <tableColumn id="16" name="Refill Needed"/>
    <tableColumn id="17" name="Notes"/>
  </tableColumns>
  <tableStyleInfo name="BEBEDOGS-style" showFirstColumn="1" showLastColumn="1" showRowStripes="1" showColumnStripes="0"/>
</table>
</file>

<file path=xl/tables/table8.xml><?xml version="1.0" encoding="utf-8"?>
<table xmlns="http://schemas.openxmlformats.org/spreadsheetml/2006/main" id="8" name="Table_8" displayName="Table_8" ref="A4:Q17" headerRowCount="1">
  <tableColumns count="17">
    <tableColumn id="1" name="SKU"/>
    <tableColumn id="2" name="Item"/>
    <tableColumn id="3" name="Color / Variant"/>
    <tableColumn id="4" name="Tag"/>
    <tableColumn id="5" name="Display A"/>
    <tableColumn id="6" name="Display B"/>
    <tableColumn id="7" name="Display C"/>
    <tableColumn id="8" name="Back Stock"/>
    <tableColumn id="9" name="Total Counted"/>
    <tableColumn id="10" name="Original Inventory"/>
    <tableColumn id="11" name="Variance vs Original"/>
    <tableColumn id="12" name="Day Start"/>
    <tableColumn id="13" name="Day End"/>
    <tableColumn id="14" name="Sold Today"/>
    <tableColumn id="15" name="Low Stock"/>
    <tableColumn id="16" name="Refill Needed"/>
    <tableColumn id="17" name="Notes"/>
  </tableColumns>
  <tableStyleInfo name="BEBEMONS-style" showFirstColumn="1" showLastColumn="1" showRowStripes="1" showColumnStripes="0"/>
</table>
</file>

<file path=xl/tables/table9.xml><?xml version="1.0" encoding="utf-8"?>
<table xmlns="http://schemas.openxmlformats.org/spreadsheetml/2006/main" id="9" name="Table_9" displayName="Table_9" ref="A4:Q19" headerRowCount="1">
  <tableColumns count="17">
    <tableColumn id="1" name="SKU"/>
    <tableColumn id="2" name="Item"/>
    <tableColumn id="3" name="Color / Variant"/>
    <tableColumn id="4" name="Tag"/>
    <tableColumn id="5" name="Display A"/>
    <tableColumn id="6" name="Display B"/>
    <tableColumn id="7" name="Display C"/>
    <tableColumn id="8" name="Back Stock"/>
    <tableColumn id="9" name="Total Counted"/>
    <tableColumn id="10" name="Original Inventory"/>
    <tableColumn id="11" name="Variance vs Original"/>
    <tableColumn id="12" name="Day Start"/>
    <tableColumn id="13" name="Day End"/>
    <tableColumn id="14" name="Sold Today"/>
    <tableColumn id="15" name="Low Stock"/>
    <tableColumn id="16" name="Refill Needed"/>
    <tableColumn id="17" name="Notes"/>
  </tableColumns>
  <tableStyleInfo name="BEBESAURS-style" showFirstColumn="1" showLastColumn="1" showRowStripes="1" showColumnStripes="0"/>
</table>
</file>

<file path=xl/tables/table10.xml><?xml version="1.0" encoding="utf-8"?>
<table xmlns="http://schemas.openxmlformats.org/spreadsheetml/2006/main" id="10" name="Table_10" displayName="Table_10" ref="A3:J145" headerRowCount="1">
  <tableColumns count="10">
    <tableColumn id="1" name="Category"/>
    <tableColumn id="2" name="SKU"/>
    <tableColumn id="3" name="Item"/>
    <tableColumn id="4" name="Color / Variant"/>
    <tableColumn id="5" name="Tag"/>
    <tableColumn id="6" name="Total Counted"/>
    <tableColumn id="7" name="Original Inventory"/>
    <tableColumn id="8" name="Variance"/>
    <tableColumn id="9" name="Sold Today"/>
    <tableColumn id="10" name="Low Stock"/>
  </tableColumns>
  <tableStyleInfo name="ALL_SKUS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4"/>
  <sheetViews>
    <sheetView workbookViewId="0">
      <selection activeCell="A1" sqref="A1"/>
    </sheetView>
  </sheetViews>
  <sheetFormatPr baseColWidth="8" defaultColWidth="14.43" defaultRowHeight="15" customHeight="1"/>
  <cols>
    <col width="12" customWidth="1" style="45" min="1" max="1"/>
    <col width="95" customWidth="1" style="45" min="2" max="2"/>
    <col width="16" customWidth="1" style="45" min="3" max="6"/>
    <col width="8.710000000000001" customWidth="1" style="45" min="7" max="26"/>
  </cols>
  <sheetData>
    <row r="1">
      <c r="A1" s="46" t="inlineStr">
        <is>
          <t>BEBEPRINTS Inventory Tracker v2</t>
        </is>
      </c>
    </row>
    <row r="2">
      <c r="A2" s="4" t="inlineStr"/>
    </row>
    <row r="3">
      <c r="A3" s="47" t="inlineStr">
        <is>
          <t>What changed in version 2</t>
        </is>
      </c>
    </row>
    <row r="4">
      <c r="A4" s="6" t="inlineStr">
        <is>
          <t>1</t>
        </is>
      </c>
      <c r="B4" s="25" t="inlineStr">
        <is>
          <t>Each category sheet now uses one clean stock flow: Display A, Display B, Display C, and Back Stock.</t>
        </is>
      </c>
      <c r="C4" s="25" t="n"/>
      <c r="D4" s="25" t="n"/>
      <c r="E4" s="44" t="n"/>
      <c r="F4" s="44" t="n"/>
    </row>
    <row r="5">
      <c r="A5" s="6" t="inlineStr">
        <is>
          <t>2</t>
        </is>
      </c>
      <c r="B5" s="25" t="inlineStr">
        <is>
          <t>Total Counted, Variance, Sold Today, Low Stock, and Refill Needed are automatic formulas.</t>
        </is>
      </c>
      <c r="C5" s="25" t="n"/>
      <c r="D5" s="25" t="n"/>
      <c r="E5" s="44" t="n"/>
      <c r="F5" s="44" t="n"/>
    </row>
    <row r="6">
      <c r="A6" s="6" t="inlineStr">
        <is>
          <t>3</t>
        </is>
      </c>
      <c r="B6" s="25" t="inlineStr">
        <is>
          <t>MASTER shows business-wide KPIs, category totals, and quick low-stock checks.</t>
        </is>
      </c>
      <c r="C6" s="25" t="n"/>
      <c r="D6" s="25" t="n"/>
      <c r="E6" s="44" t="n"/>
      <c r="F6" s="44" t="n"/>
    </row>
    <row r="7">
      <c r="A7" s="6" t="inlineStr">
        <is>
          <t>4</t>
        </is>
      </c>
      <c r="B7" s="25" t="inlineStr">
        <is>
          <t>ALL_SKUS gives one filterable list of all products from every category tab.</t>
        </is>
      </c>
      <c r="C7" s="25" t="n"/>
      <c r="D7" s="25" t="n"/>
      <c r="E7" s="44" t="n"/>
      <c r="F7" s="44" t="n"/>
    </row>
    <row r="8">
      <c r="A8" s="6" t="inlineStr">
        <is>
          <t>5</t>
        </is>
      </c>
      <c r="B8" s="25" t="inlineStr">
        <is>
          <t>Update only the blue cells in category sheets: Display A, Display B, Display C, Back Stock, Day Start, Day End, and Notes.</t>
        </is>
      </c>
      <c r="C8" s="25" t="n"/>
      <c r="D8" s="25" t="n"/>
      <c r="E8" s="44" t="n"/>
      <c r="F8" s="44" t="n"/>
    </row>
    <row r="9">
      <c r="A9" s="25" t="inlineStr"/>
      <c r="B9" s="25" t="n"/>
      <c r="C9" s="25" t="n"/>
      <c r="D9" s="25" t="n"/>
      <c r="E9" s="44" t="n"/>
      <c r="F9" s="44" t="n"/>
    </row>
    <row r="10">
      <c r="A10" s="38" t="inlineStr">
        <is>
          <t>Fast daily workflow</t>
        </is>
      </c>
    </row>
    <row r="11">
      <c r="A11" s="6" t="inlineStr">
        <is>
          <t>1</t>
        </is>
      </c>
      <c r="B11" s="25" t="inlineStr">
        <is>
          <t>Morning: enter Day Start if you want daily sales tracking.</t>
        </is>
      </c>
      <c r="C11" s="25" t="n"/>
      <c r="D11" s="25" t="n"/>
      <c r="E11" s="44" t="n"/>
      <c r="F11" s="44" t="n"/>
    </row>
    <row r="12">
      <c r="A12" s="6" t="inlineStr">
        <is>
          <t>2</t>
        </is>
      </c>
      <c r="B12" s="25" t="inlineStr">
        <is>
          <t>During restock: update Display A/B/C and Back Stock only.</t>
        </is>
      </c>
      <c r="C12" s="25" t="n"/>
      <c r="D12" s="25" t="n"/>
      <c r="E12" s="44" t="n"/>
      <c r="F12" s="44" t="n"/>
    </row>
    <row r="13">
      <c r="A13" s="6" t="inlineStr">
        <is>
          <t>3</t>
        </is>
      </c>
      <c r="B13" s="25" t="inlineStr">
        <is>
          <t>Closing: enter Day End. Sold Today will compute automatically.</t>
        </is>
      </c>
      <c r="C13" s="25" t="n"/>
      <c r="D13" s="25" t="n"/>
      <c r="E13" s="44" t="n"/>
      <c r="F13" s="44" t="n"/>
    </row>
    <row r="14">
      <c r="A14" s="6" t="inlineStr">
        <is>
          <t>4</t>
        </is>
      </c>
      <c r="B14" s="25" t="inlineStr">
        <is>
          <t>Use MASTER to see low-stock items and which categories need printing soon.</t>
        </is>
      </c>
      <c r="C14" s="25" t="n"/>
      <c r="D14" s="25" t="n"/>
      <c r="E14" s="44" t="n"/>
      <c r="F14" s="44" t="n"/>
    </row>
    <row r="21" ht="15.75" customHeight="1" s="45"/>
    <row r="22" ht="15.75" customHeight="1" s="45"/>
    <row r="23" ht="15.75" customHeight="1" s="45"/>
    <row r="24" ht="15.75" customHeight="1" s="45"/>
    <row r="25" ht="15.75" customHeight="1" s="45"/>
    <row r="26" ht="15.75" customHeight="1" s="45"/>
    <row r="27" ht="15.75" customHeight="1" s="45"/>
    <row r="28" ht="15.75" customHeight="1" s="45"/>
    <row r="29" ht="15.75" customHeight="1" s="45"/>
    <row r="30" ht="15.75" customHeight="1" s="45"/>
    <row r="31" ht="15.75" customHeight="1" s="45"/>
    <row r="32" ht="15.75" customHeight="1" s="45"/>
    <row r="33" ht="15.75" customHeight="1" s="45"/>
    <row r="34" ht="15.75" customHeight="1" s="45"/>
    <row r="35" ht="15.75" customHeight="1" s="45"/>
    <row r="36" ht="15.75" customHeight="1" s="45"/>
    <row r="37" ht="15.75" customHeight="1" s="45"/>
    <row r="38" ht="15.75" customHeight="1" s="45"/>
    <row r="39" ht="15.75" customHeight="1" s="45"/>
    <row r="40" ht="15.75" customHeight="1" s="45"/>
    <row r="41" ht="15.75" customHeight="1" s="45"/>
    <row r="42" ht="15.75" customHeight="1" s="45"/>
    <row r="43" ht="15.75" customHeight="1" s="45"/>
    <row r="44" ht="15.75" customHeight="1" s="45"/>
    <row r="45" ht="15.75" customHeight="1" s="45"/>
    <row r="46" ht="15.75" customHeight="1" s="45"/>
    <row r="47" ht="15.75" customHeight="1" s="45"/>
    <row r="48" ht="15.75" customHeight="1" s="45"/>
    <row r="49" ht="15.75" customHeight="1" s="45"/>
    <row r="50" ht="15.75" customHeight="1" s="45"/>
    <row r="51" ht="15.75" customHeight="1" s="45"/>
    <row r="52" ht="15.75" customHeight="1" s="45"/>
    <row r="53" ht="15.75" customHeight="1" s="45"/>
    <row r="54" ht="15.75" customHeight="1" s="45"/>
    <row r="55" ht="15.75" customHeight="1" s="45"/>
    <row r="56" ht="15.75" customHeight="1" s="45"/>
    <row r="57" ht="15.75" customHeight="1" s="45"/>
    <row r="58" ht="15.75" customHeight="1" s="45"/>
    <row r="59" ht="15.75" customHeight="1" s="45"/>
    <row r="60" ht="15.75" customHeight="1" s="45"/>
    <row r="61" ht="15.75" customHeight="1" s="45"/>
    <row r="62" ht="15.75" customHeight="1" s="45"/>
    <row r="63" ht="15.75" customHeight="1" s="45"/>
    <row r="64" ht="15.75" customHeight="1" s="45"/>
    <row r="65" ht="15.75" customHeight="1" s="45"/>
    <row r="66" ht="15.75" customHeight="1" s="45"/>
    <row r="67" ht="15.75" customHeight="1" s="45"/>
    <row r="68" ht="15.75" customHeight="1" s="45"/>
    <row r="69" ht="15.75" customHeight="1" s="45"/>
    <row r="70" ht="15.75" customHeight="1" s="45"/>
    <row r="71" ht="15.75" customHeight="1" s="45"/>
    <row r="72" ht="15.75" customHeight="1" s="45"/>
    <row r="73" ht="15.75" customHeight="1" s="45"/>
    <row r="74" ht="15.75" customHeight="1" s="45"/>
    <row r="75" ht="15.75" customHeight="1" s="45"/>
    <row r="76" ht="15.75" customHeight="1" s="45"/>
    <row r="77" ht="15.75" customHeight="1" s="45"/>
    <row r="78" ht="15.75" customHeight="1" s="45"/>
    <row r="79" ht="15.75" customHeight="1" s="45"/>
    <row r="80" ht="15.75" customHeight="1" s="45"/>
    <row r="81" ht="15.75" customHeight="1" s="45"/>
    <row r="82" ht="15.75" customHeight="1" s="45"/>
    <row r="83" ht="15.75" customHeight="1" s="45"/>
    <row r="84" ht="15.75" customHeight="1" s="45"/>
    <row r="85" ht="15.75" customHeight="1" s="45"/>
    <row r="86" ht="15.75" customHeight="1" s="45"/>
    <row r="87" ht="15.75" customHeight="1" s="45"/>
    <row r="88" ht="15.75" customHeight="1" s="45"/>
    <row r="89" ht="15.75" customHeight="1" s="45"/>
    <row r="90" ht="15.75" customHeight="1" s="45"/>
    <row r="91" ht="15.75" customHeight="1" s="45"/>
    <row r="92" ht="15.75" customHeight="1" s="45"/>
    <row r="93" ht="15.75" customHeight="1" s="45"/>
    <row r="94" ht="15.75" customHeight="1" s="45"/>
    <row r="95" ht="15.75" customHeight="1" s="45"/>
    <row r="96" ht="15.75" customHeight="1" s="45"/>
    <row r="97" ht="15.75" customHeight="1" s="45"/>
    <row r="98" ht="15.75" customHeight="1" s="45"/>
    <row r="99" ht="15.75" customHeight="1" s="45"/>
    <row r="100" ht="15.75" customHeight="1" s="45"/>
    <row r="101" ht="15.75" customHeight="1" s="45"/>
    <row r="102" ht="15.75" customHeight="1" s="45"/>
    <row r="103" ht="15.75" customHeight="1" s="45"/>
    <row r="104" ht="15.75" customHeight="1" s="45"/>
    <row r="105" ht="15.75" customHeight="1" s="45"/>
    <row r="106" ht="15.75" customHeight="1" s="45"/>
    <row r="107" ht="15.75" customHeight="1" s="45"/>
    <row r="108" ht="15.75" customHeight="1" s="45"/>
    <row r="109" ht="15.75" customHeight="1" s="45"/>
    <row r="110" ht="15.75" customHeight="1" s="45"/>
    <row r="111" ht="15.75" customHeight="1" s="45"/>
    <row r="112" ht="15.75" customHeight="1" s="45"/>
    <row r="113" ht="15.75" customHeight="1" s="45"/>
    <row r="114" ht="15.75" customHeight="1" s="45"/>
    <row r="115" ht="15.75" customHeight="1" s="45"/>
    <row r="116" ht="15.75" customHeight="1" s="45"/>
    <row r="117" ht="15.75" customHeight="1" s="45"/>
    <row r="118" ht="15.75" customHeight="1" s="45"/>
    <row r="119" ht="15.75" customHeight="1" s="45"/>
    <row r="120" ht="15.75" customHeight="1" s="45"/>
    <row r="121" ht="15.75" customHeight="1" s="45"/>
    <row r="122" ht="15.75" customHeight="1" s="45"/>
    <row r="123" ht="15.75" customHeight="1" s="45"/>
    <row r="124" ht="15.75" customHeight="1" s="45"/>
    <row r="125" ht="15.75" customHeight="1" s="45"/>
    <row r="126" ht="15.75" customHeight="1" s="45"/>
    <row r="127" ht="15.75" customHeight="1" s="45"/>
    <row r="128" ht="15.75" customHeight="1" s="45"/>
    <row r="129" ht="15.75" customHeight="1" s="45"/>
    <row r="130" ht="15.75" customHeight="1" s="45"/>
    <row r="131" ht="15.75" customHeight="1" s="45"/>
    <row r="132" ht="15.75" customHeight="1" s="45"/>
    <row r="133" ht="15.75" customHeight="1" s="45"/>
    <row r="134" ht="15.75" customHeight="1" s="45"/>
    <row r="135" ht="15.75" customHeight="1" s="45"/>
    <row r="136" ht="15.75" customHeight="1" s="45"/>
    <row r="137" ht="15.75" customHeight="1" s="45"/>
    <row r="138" ht="15.75" customHeight="1" s="45"/>
    <row r="139" ht="15.75" customHeight="1" s="45"/>
    <row r="140" ht="15.75" customHeight="1" s="45"/>
    <row r="141" ht="15.75" customHeight="1" s="45"/>
    <row r="142" ht="15.75" customHeight="1" s="45"/>
    <row r="143" ht="15.75" customHeight="1" s="45"/>
    <row r="144" ht="15.75" customHeight="1" s="45"/>
    <row r="145" ht="15.75" customHeight="1" s="45"/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3">
    <mergeCell ref="A3:F3"/>
    <mergeCell ref="A1:F1"/>
    <mergeCell ref="A10:F10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1000"/>
  <sheetViews>
    <sheetView workbookViewId="0">
      <selection activeCell="A1" sqref="A1"/>
    </sheetView>
  </sheetViews>
  <sheetFormatPr baseColWidth="8" defaultColWidth="14.43" defaultRowHeight="15" customHeight="1"/>
  <cols>
    <col width="26" customWidth="1" style="45" min="1" max="1"/>
    <col width="22" customWidth="1" style="45" min="2" max="2"/>
    <col width="50" customWidth="1" style="45" min="3" max="3"/>
    <col width="8.710000000000001" customWidth="1" style="45" min="4" max="26"/>
  </cols>
  <sheetData>
    <row r="1">
      <c r="A1" s="48" t="inlineStr">
        <is>
          <t>Workbook Controls</t>
        </is>
      </c>
    </row>
    <row r="2">
      <c r="A2" s="4" t="inlineStr"/>
      <c r="B2" s="11" t="inlineStr"/>
      <c r="C2" s="4" t="inlineStr"/>
    </row>
    <row r="3">
      <c r="A3" s="12" t="inlineStr">
        <is>
          <t>Low stock threshold</t>
        </is>
      </c>
      <c r="B3" s="13" t="n">
        <v>6</v>
      </c>
      <c r="C3" s="4" t="inlineStr">
        <is>
          <t>Any SKU at or below this total count is flagged LOW</t>
        </is>
      </c>
    </row>
    <row r="4">
      <c r="A4" s="22" t="inlineStr">
        <is>
          <t>Target pieces per acrylic</t>
        </is>
      </c>
      <c r="B4" s="15" t="n">
        <v>5</v>
      </c>
      <c r="C4" s="25" t="inlineStr">
        <is>
          <t>Used by Refill Needed formula for Display A/B/C</t>
        </is>
      </c>
    </row>
    <row r="5">
      <c r="A5" s="22" t="inlineStr">
        <is>
          <t>Ideal total stock floor</t>
        </is>
      </c>
      <c r="B5" s="15" t="n">
        <v>15</v>
      </c>
      <c r="C5" s="25" t="inlineStr">
        <is>
          <t>Optional planning guide for future production</t>
        </is>
      </c>
    </row>
    <row r="6">
      <c r="A6" s="25" t="inlineStr"/>
      <c r="B6" s="25" t="inlineStr"/>
      <c r="C6" s="25" t="inlineStr"/>
    </row>
    <row r="7">
      <c r="A7" s="38" t="inlineStr">
        <is>
          <t>Color guide</t>
        </is>
      </c>
    </row>
    <row r="8">
      <c r="A8" s="6" t="inlineStr">
        <is>
          <t>Blue text</t>
        </is>
      </c>
      <c r="B8" s="25" t="inlineStr">
        <is>
          <t>Input cells you can edit</t>
        </is>
      </c>
      <c r="C8" s="25" t="inlineStr"/>
    </row>
    <row r="9">
      <c r="A9" s="6" t="inlineStr">
        <is>
          <t>Black text</t>
        </is>
      </c>
      <c r="B9" s="25" t="inlineStr">
        <is>
          <t>Formula / computed cells</t>
        </is>
      </c>
      <c r="C9" s="25" t="inlineStr"/>
    </row>
    <row r="10">
      <c r="A10" s="6" t="inlineStr">
        <is>
          <t>Green text</t>
        </is>
      </c>
      <c r="B10" s="25" t="inlineStr">
        <is>
          <t>Linked cells on summary sheets</t>
        </is>
      </c>
      <c r="C10" s="25" t="inlineStr"/>
    </row>
    <row r="11">
      <c r="A11" s="6" t="inlineStr">
        <is>
          <t>Purple cells</t>
        </is>
      </c>
      <c r="B11" s="25" t="inlineStr">
        <is>
          <t>Controls and assumptions</t>
        </is>
      </c>
      <c r="C11" s="25" t="inlineStr"/>
    </row>
    <row r="12">
      <c r="B12" s="11" t="n"/>
    </row>
    <row r="13">
      <c r="B13" s="11" t="n"/>
    </row>
    <row r="14">
      <c r="B14" s="11" t="n"/>
    </row>
    <row r="15">
      <c r="B15" s="11" t="n"/>
    </row>
    <row r="16">
      <c r="B16" s="11" t="n"/>
    </row>
    <row r="17">
      <c r="B17" s="11" t="n"/>
    </row>
    <row r="18">
      <c r="B18" s="11" t="n"/>
    </row>
    <row r="19">
      <c r="B19" s="11" t="n"/>
    </row>
    <row r="20">
      <c r="B20" s="11" t="n"/>
    </row>
    <row r="21" ht="15.75" customHeight="1" s="45">
      <c r="B21" s="11" t="n"/>
    </row>
    <row r="22" ht="15.75" customHeight="1" s="45">
      <c r="B22" s="11" t="n"/>
    </row>
    <row r="23" ht="15.75" customHeight="1" s="45">
      <c r="B23" s="11" t="n"/>
    </row>
    <row r="24" ht="15.75" customHeight="1" s="45">
      <c r="B24" s="11" t="n"/>
    </row>
    <row r="25" ht="15.75" customHeight="1" s="45">
      <c r="B25" s="11" t="n"/>
    </row>
    <row r="26" ht="15.75" customHeight="1" s="45">
      <c r="B26" s="11" t="n"/>
    </row>
    <row r="27" ht="15.75" customHeight="1" s="45">
      <c r="B27" s="11" t="n"/>
    </row>
    <row r="28" ht="15.75" customHeight="1" s="45">
      <c r="B28" s="11" t="n"/>
    </row>
    <row r="29" ht="15.75" customHeight="1" s="45">
      <c r="B29" s="11" t="n"/>
    </row>
    <row r="30" ht="15.75" customHeight="1" s="45">
      <c r="B30" s="11" t="n"/>
    </row>
    <row r="31" ht="15.75" customHeight="1" s="45">
      <c r="B31" s="11" t="n"/>
    </row>
    <row r="32" ht="15.75" customHeight="1" s="45">
      <c r="B32" s="11" t="n"/>
    </row>
    <row r="33" ht="15.75" customHeight="1" s="45">
      <c r="B33" s="11" t="n"/>
    </row>
    <row r="34" ht="15.75" customHeight="1" s="45">
      <c r="B34" s="11" t="n"/>
    </row>
    <row r="35" ht="15.75" customHeight="1" s="45">
      <c r="B35" s="11" t="n"/>
    </row>
    <row r="36" ht="15.75" customHeight="1" s="45">
      <c r="B36" s="11" t="n"/>
    </row>
    <row r="37" ht="15.75" customHeight="1" s="45">
      <c r="B37" s="11" t="n"/>
    </row>
    <row r="38" ht="15.75" customHeight="1" s="45">
      <c r="B38" s="11" t="n"/>
    </row>
    <row r="39" ht="15.75" customHeight="1" s="45">
      <c r="B39" s="11" t="n"/>
    </row>
    <row r="40" ht="15.75" customHeight="1" s="45">
      <c r="B40" s="11" t="n"/>
    </row>
    <row r="41" ht="15.75" customHeight="1" s="45">
      <c r="B41" s="11" t="n"/>
    </row>
    <row r="42" ht="15.75" customHeight="1" s="45">
      <c r="B42" s="11" t="n"/>
    </row>
    <row r="43" ht="15.75" customHeight="1" s="45">
      <c r="B43" s="11" t="n"/>
    </row>
    <row r="44" ht="15.75" customHeight="1" s="45">
      <c r="B44" s="11" t="n"/>
    </row>
    <row r="45" ht="15.75" customHeight="1" s="45">
      <c r="B45" s="11" t="n"/>
    </row>
    <row r="46" ht="15.75" customHeight="1" s="45">
      <c r="B46" s="11" t="n"/>
    </row>
    <row r="47" ht="15.75" customHeight="1" s="45">
      <c r="B47" s="11" t="n"/>
    </row>
    <row r="48" ht="15.75" customHeight="1" s="45">
      <c r="B48" s="11" t="n"/>
    </row>
    <row r="49" ht="15.75" customHeight="1" s="45">
      <c r="B49" s="11" t="n"/>
    </row>
    <row r="50" ht="15.75" customHeight="1" s="45">
      <c r="B50" s="11" t="n"/>
    </row>
    <row r="51" ht="15.75" customHeight="1" s="45">
      <c r="B51" s="11" t="n"/>
    </row>
    <row r="52" ht="15.75" customHeight="1" s="45">
      <c r="B52" s="11" t="n"/>
    </row>
    <row r="53" ht="15.75" customHeight="1" s="45">
      <c r="B53" s="11" t="n"/>
    </row>
    <row r="54" ht="15.75" customHeight="1" s="45">
      <c r="B54" s="11" t="n"/>
    </row>
    <row r="55" ht="15.75" customHeight="1" s="45">
      <c r="B55" s="11" t="n"/>
    </row>
    <row r="56" ht="15.75" customHeight="1" s="45">
      <c r="B56" s="11" t="n"/>
    </row>
    <row r="57" ht="15.75" customHeight="1" s="45">
      <c r="B57" s="11" t="n"/>
    </row>
    <row r="58" ht="15.75" customHeight="1" s="45">
      <c r="B58" s="11" t="n"/>
    </row>
    <row r="59" ht="15.75" customHeight="1" s="45">
      <c r="B59" s="11" t="n"/>
    </row>
    <row r="60" ht="15.75" customHeight="1" s="45">
      <c r="B60" s="11" t="n"/>
    </row>
    <row r="61" ht="15.75" customHeight="1" s="45">
      <c r="B61" s="11" t="n"/>
    </row>
    <row r="62" ht="15.75" customHeight="1" s="45">
      <c r="B62" s="11" t="n"/>
    </row>
    <row r="63" ht="15.75" customHeight="1" s="45">
      <c r="B63" s="11" t="n"/>
    </row>
    <row r="64" ht="15.75" customHeight="1" s="45">
      <c r="B64" s="11" t="n"/>
    </row>
    <row r="65" ht="15.75" customHeight="1" s="45">
      <c r="B65" s="11" t="n"/>
    </row>
    <row r="66" ht="15.75" customHeight="1" s="45">
      <c r="B66" s="11" t="n"/>
    </row>
    <row r="67" ht="15.75" customHeight="1" s="45">
      <c r="B67" s="11" t="n"/>
    </row>
    <row r="68" ht="15.75" customHeight="1" s="45">
      <c r="B68" s="11" t="n"/>
    </row>
    <row r="69" ht="15.75" customHeight="1" s="45">
      <c r="B69" s="11" t="n"/>
    </row>
    <row r="70" ht="15.75" customHeight="1" s="45">
      <c r="B70" s="11" t="n"/>
    </row>
    <row r="71" ht="15.75" customHeight="1" s="45">
      <c r="B71" s="11" t="n"/>
    </row>
    <row r="72" ht="15.75" customHeight="1" s="45">
      <c r="B72" s="11" t="n"/>
    </row>
    <row r="73" ht="15.75" customHeight="1" s="45">
      <c r="B73" s="11" t="n"/>
    </row>
    <row r="74" ht="15.75" customHeight="1" s="45">
      <c r="B74" s="11" t="n"/>
    </row>
    <row r="75" ht="15.75" customHeight="1" s="45">
      <c r="B75" s="11" t="n"/>
    </row>
    <row r="76" ht="15.75" customHeight="1" s="45">
      <c r="B76" s="11" t="n"/>
    </row>
    <row r="77" ht="15.75" customHeight="1" s="45">
      <c r="B77" s="11" t="n"/>
    </row>
    <row r="78" ht="15.75" customHeight="1" s="45">
      <c r="B78" s="11" t="n"/>
    </row>
    <row r="79" ht="15.75" customHeight="1" s="45">
      <c r="B79" s="11" t="n"/>
    </row>
    <row r="80" ht="15.75" customHeight="1" s="45">
      <c r="B80" s="11" t="n"/>
    </row>
    <row r="81" ht="15.75" customHeight="1" s="45">
      <c r="B81" s="11" t="n"/>
    </row>
    <row r="82" ht="15.75" customHeight="1" s="45">
      <c r="B82" s="11" t="n"/>
    </row>
    <row r="83" ht="15.75" customHeight="1" s="45">
      <c r="B83" s="11" t="n"/>
    </row>
    <row r="84" ht="15.75" customHeight="1" s="45">
      <c r="B84" s="11" t="n"/>
    </row>
    <row r="85" ht="15.75" customHeight="1" s="45">
      <c r="B85" s="11" t="n"/>
    </row>
    <row r="86" ht="15.75" customHeight="1" s="45">
      <c r="B86" s="11" t="n"/>
    </row>
    <row r="87" ht="15.75" customHeight="1" s="45">
      <c r="B87" s="11" t="n"/>
    </row>
    <row r="88" ht="15.75" customHeight="1" s="45">
      <c r="B88" s="11" t="n"/>
    </row>
    <row r="89" ht="15.75" customHeight="1" s="45">
      <c r="B89" s="11" t="n"/>
    </row>
    <row r="90" ht="15.75" customHeight="1" s="45">
      <c r="B90" s="11" t="n"/>
    </row>
    <row r="91" ht="15.75" customHeight="1" s="45">
      <c r="B91" s="11" t="n"/>
    </row>
    <row r="92" ht="15.75" customHeight="1" s="45">
      <c r="B92" s="11" t="n"/>
    </row>
    <row r="93" ht="15.75" customHeight="1" s="45">
      <c r="B93" s="11" t="n"/>
    </row>
    <row r="94" ht="15.75" customHeight="1" s="45">
      <c r="B94" s="11" t="n"/>
    </row>
    <row r="95" ht="15.75" customHeight="1" s="45">
      <c r="B95" s="11" t="n"/>
    </row>
    <row r="96" ht="15.75" customHeight="1" s="45">
      <c r="B96" s="11" t="n"/>
    </row>
    <row r="97" ht="15.75" customHeight="1" s="45">
      <c r="B97" s="11" t="n"/>
    </row>
    <row r="98" ht="15.75" customHeight="1" s="45">
      <c r="B98" s="11" t="n"/>
    </row>
    <row r="99" ht="15.75" customHeight="1" s="45">
      <c r="B99" s="11" t="n"/>
    </row>
    <row r="100" ht="15.75" customHeight="1" s="45">
      <c r="B100" s="11" t="n"/>
    </row>
    <row r="101" ht="15.75" customHeight="1" s="45">
      <c r="B101" s="11" t="n"/>
    </row>
    <row r="102" ht="15.75" customHeight="1" s="45">
      <c r="B102" s="11" t="n"/>
    </row>
    <row r="103" ht="15.75" customHeight="1" s="45">
      <c r="B103" s="11" t="n"/>
    </row>
    <row r="104" ht="15.75" customHeight="1" s="45">
      <c r="B104" s="11" t="n"/>
    </row>
    <row r="105" ht="15.75" customHeight="1" s="45">
      <c r="B105" s="11" t="n"/>
    </row>
    <row r="106" ht="15.75" customHeight="1" s="45">
      <c r="B106" s="11" t="n"/>
    </row>
    <row r="107" ht="15.75" customHeight="1" s="45">
      <c r="B107" s="11" t="n"/>
    </row>
    <row r="108" ht="15.75" customHeight="1" s="45">
      <c r="B108" s="11" t="n"/>
    </row>
    <row r="109" ht="15.75" customHeight="1" s="45">
      <c r="B109" s="11" t="n"/>
    </row>
    <row r="110" ht="15.75" customHeight="1" s="45">
      <c r="B110" s="11" t="n"/>
    </row>
    <row r="111" ht="15.75" customHeight="1" s="45">
      <c r="B111" s="11" t="n"/>
    </row>
    <row r="112" ht="15.75" customHeight="1" s="45">
      <c r="B112" s="11" t="n"/>
    </row>
    <row r="113" ht="15.75" customHeight="1" s="45">
      <c r="B113" s="11" t="n"/>
    </row>
    <row r="114" ht="15.75" customHeight="1" s="45">
      <c r="B114" s="11" t="n"/>
    </row>
    <row r="115" ht="15.75" customHeight="1" s="45">
      <c r="B115" s="11" t="n"/>
    </row>
    <row r="116" ht="15.75" customHeight="1" s="45">
      <c r="B116" s="11" t="n"/>
    </row>
    <row r="117" ht="15.75" customHeight="1" s="45">
      <c r="B117" s="11" t="n"/>
    </row>
    <row r="118" ht="15.75" customHeight="1" s="45">
      <c r="B118" s="11" t="n"/>
    </row>
    <row r="119" ht="15.75" customHeight="1" s="45">
      <c r="B119" s="11" t="n"/>
    </row>
    <row r="120" ht="15.75" customHeight="1" s="45">
      <c r="B120" s="11" t="n"/>
    </row>
    <row r="121" ht="15.75" customHeight="1" s="45">
      <c r="B121" s="11" t="n"/>
    </row>
    <row r="122" ht="15.75" customHeight="1" s="45">
      <c r="B122" s="11" t="n"/>
    </row>
    <row r="123" ht="15.75" customHeight="1" s="45">
      <c r="B123" s="11" t="n"/>
    </row>
    <row r="124" ht="15.75" customHeight="1" s="45">
      <c r="B124" s="11" t="n"/>
    </row>
    <row r="125" ht="15.75" customHeight="1" s="45">
      <c r="B125" s="11" t="n"/>
    </row>
    <row r="126" ht="15.75" customHeight="1" s="45">
      <c r="B126" s="11" t="n"/>
    </row>
    <row r="127" ht="15.75" customHeight="1" s="45">
      <c r="B127" s="11" t="n"/>
    </row>
    <row r="128" ht="15.75" customHeight="1" s="45">
      <c r="B128" s="11" t="n"/>
    </row>
    <row r="129" ht="15.75" customHeight="1" s="45">
      <c r="B129" s="11" t="n"/>
    </row>
    <row r="130" ht="15.75" customHeight="1" s="45">
      <c r="B130" s="11" t="n"/>
    </row>
    <row r="131" ht="15.75" customHeight="1" s="45">
      <c r="B131" s="11" t="n"/>
    </row>
    <row r="132" ht="15.75" customHeight="1" s="45">
      <c r="B132" s="11" t="n"/>
    </row>
    <row r="133" ht="15.75" customHeight="1" s="45">
      <c r="B133" s="11" t="n"/>
    </row>
    <row r="134" ht="15.75" customHeight="1" s="45">
      <c r="B134" s="11" t="n"/>
    </row>
    <row r="135" ht="15.75" customHeight="1" s="45">
      <c r="B135" s="11" t="n"/>
    </row>
    <row r="136" ht="15.75" customHeight="1" s="45">
      <c r="B136" s="11" t="n"/>
    </row>
    <row r="137" ht="15.75" customHeight="1" s="45">
      <c r="B137" s="11" t="n"/>
    </row>
    <row r="138" ht="15.75" customHeight="1" s="45">
      <c r="B138" s="11" t="n"/>
    </row>
    <row r="139" ht="15.75" customHeight="1" s="45">
      <c r="B139" s="11" t="n"/>
    </row>
    <row r="140" ht="15.75" customHeight="1" s="45">
      <c r="B140" s="11" t="n"/>
    </row>
    <row r="141" ht="15.75" customHeight="1" s="45">
      <c r="B141" s="11" t="n"/>
    </row>
    <row r="142" ht="15.75" customHeight="1" s="45">
      <c r="B142" s="11" t="n"/>
    </row>
    <row r="143" ht="15.75" customHeight="1" s="45">
      <c r="B143" s="11" t="n"/>
    </row>
    <row r="144" ht="15.75" customHeight="1" s="45">
      <c r="B144" s="11" t="n"/>
    </row>
    <row r="145" ht="15.75" customHeight="1" s="45">
      <c r="B145" s="11" t="n"/>
    </row>
    <row r="146" ht="15.75" customHeight="1" s="45">
      <c r="B146" s="11" t="n"/>
    </row>
    <row r="147" ht="15.75" customHeight="1" s="45">
      <c r="B147" s="11" t="n"/>
    </row>
    <row r="148" ht="15.75" customHeight="1" s="45">
      <c r="B148" s="11" t="n"/>
    </row>
    <row r="149" ht="15.75" customHeight="1" s="45">
      <c r="B149" s="11" t="n"/>
    </row>
    <row r="150" ht="15.75" customHeight="1" s="45">
      <c r="B150" s="11" t="n"/>
    </row>
    <row r="151" ht="15.75" customHeight="1" s="45">
      <c r="B151" s="11" t="n"/>
    </row>
    <row r="152" ht="15.75" customHeight="1" s="45">
      <c r="B152" s="11" t="n"/>
    </row>
    <row r="153" ht="15.75" customHeight="1" s="45">
      <c r="B153" s="11" t="n"/>
    </row>
    <row r="154" ht="15.75" customHeight="1" s="45">
      <c r="B154" s="11" t="n"/>
    </row>
    <row r="155" ht="15.75" customHeight="1" s="45">
      <c r="B155" s="11" t="n"/>
    </row>
    <row r="156" ht="15.75" customHeight="1" s="45">
      <c r="B156" s="11" t="n"/>
    </row>
    <row r="157" ht="15.75" customHeight="1" s="45">
      <c r="B157" s="11" t="n"/>
    </row>
    <row r="158" ht="15.75" customHeight="1" s="45">
      <c r="B158" s="11" t="n"/>
    </row>
    <row r="159" ht="15.75" customHeight="1" s="45">
      <c r="B159" s="11" t="n"/>
    </row>
    <row r="160" ht="15.75" customHeight="1" s="45">
      <c r="B160" s="11" t="n"/>
    </row>
    <row r="161" ht="15.75" customHeight="1" s="45">
      <c r="B161" s="11" t="n"/>
    </row>
    <row r="162" ht="15.75" customHeight="1" s="45">
      <c r="B162" s="11" t="n"/>
    </row>
    <row r="163" ht="15.75" customHeight="1" s="45">
      <c r="B163" s="11" t="n"/>
    </row>
    <row r="164" ht="15.75" customHeight="1" s="45">
      <c r="B164" s="11" t="n"/>
    </row>
    <row r="165" ht="15.75" customHeight="1" s="45">
      <c r="B165" s="11" t="n"/>
    </row>
    <row r="166" ht="15.75" customHeight="1" s="45">
      <c r="B166" s="11" t="n"/>
    </row>
    <row r="167" ht="15.75" customHeight="1" s="45">
      <c r="B167" s="11" t="n"/>
    </row>
    <row r="168" ht="15.75" customHeight="1" s="45">
      <c r="B168" s="11" t="n"/>
    </row>
    <row r="169" ht="15.75" customHeight="1" s="45">
      <c r="B169" s="11" t="n"/>
    </row>
    <row r="170" ht="15.75" customHeight="1" s="45">
      <c r="B170" s="11" t="n"/>
    </row>
    <row r="171" ht="15.75" customHeight="1" s="45">
      <c r="B171" s="11" t="n"/>
    </row>
    <row r="172" ht="15.75" customHeight="1" s="45">
      <c r="B172" s="11" t="n"/>
    </row>
    <row r="173" ht="15.75" customHeight="1" s="45">
      <c r="B173" s="11" t="n"/>
    </row>
    <row r="174" ht="15.75" customHeight="1" s="45">
      <c r="B174" s="11" t="n"/>
    </row>
    <row r="175" ht="15.75" customHeight="1" s="45">
      <c r="B175" s="11" t="n"/>
    </row>
    <row r="176" ht="15.75" customHeight="1" s="45">
      <c r="B176" s="11" t="n"/>
    </row>
    <row r="177" ht="15.75" customHeight="1" s="45">
      <c r="B177" s="11" t="n"/>
    </row>
    <row r="178" ht="15.75" customHeight="1" s="45">
      <c r="B178" s="11" t="n"/>
    </row>
    <row r="179" ht="15.75" customHeight="1" s="45">
      <c r="B179" s="11" t="n"/>
    </row>
    <row r="180" ht="15.75" customHeight="1" s="45">
      <c r="B180" s="11" t="n"/>
    </row>
    <row r="181" ht="15.75" customHeight="1" s="45">
      <c r="B181" s="11" t="n"/>
    </row>
    <row r="182" ht="15.75" customHeight="1" s="45">
      <c r="B182" s="11" t="n"/>
    </row>
    <row r="183" ht="15.75" customHeight="1" s="45">
      <c r="B183" s="11" t="n"/>
    </row>
    <row r="184" ht="15.75" customHeight="1" s="45">
      <c r="B184" s="11" t="n"/>
    </row>
    <row r="185" ht="15.75" customHeight="1" s="45">
      <c r="B185" s="11" t="n"/>
    </row>
    <row r="186" ht="15.75" customHeight="1" s="45">
      <c r="B186" s="11" t="n"/>
    </row>
    <row r="187" ht="15.75" customHeight="1" s="45">
      <c r="B187" s="11" t="n"/>
    </row>
    <row r="188" ht="15.75" customHeight="1" s="45">
      <c r="B188" s="11" t="n"/>
    </row>
    <row r="189" ht="15.75" customHeight="1" s="45">
      <c r="B189" s="11" t="n"/>
    </row>
    <row r="190" ht="15.75" customHeight="1" s="45">
      <c r="B190" s="11" t="n"/>
    </row>
    <row r="191" ht="15.75" customHeight="1" s="45">
      <c r="B191" s="11" t="n"/>
    </row>
    <row r="192" ht="15.75" customHeight="1" s="45">
      <c r="B192" s="11" t="n"/>
    </row>
    <row r="193" ht="15.75" customHeight="1" s="45">
      <c r="B193" s="11" t="n"/>
    </row>
    <row r="194" ht="15.75" customHeight="1" s="45">
      <c r="B194" s="11" t="n"/>
    </row>
    <row r="195" ht="15.75" customHeight="1" s="45">
      <c r="B195" s="11" t="n"/>
    </row>
    <row r="196" ht="15.75" customHeight="1" s="45">
      <c r="B196" s="11" t="n"/>
    </row>
    <row r="197" ht="15.75" customHeight="1" s="45">
      <c r="B197" s="11" t="n"/>
    </row>
    <row r="198" ht="15.75" customHeight="1" s="45">
      <c r="B198" s="11" t="n"/>
    </row>
    <row r="199" ht="15.75" customHeight="1" s="45">
      <c r="B199" s="11" t="n"/>
    </row>
    <row r="200" ht="15.75" customHeight="1" s="45">
      <c r="B200" s="11" t="n"/>
    </row>
    <row r="201" ht="15.75" customHeight="1" s="45">
      <c r="B201" s="11" t="n"/>
    </row>
    <row r="202" ht="15.75" customHeight="1" s="45">
      <c r="B202" s="11" t="n"/>
    </row>
    <row r="203" ht="15.75" customHeight="1" s="45">
      <c r="B203" s="11" t="n"/>
    </row>
    <row r="204" ht="15.75" customHeight="1" s="45">
      <c r="B204" s="11" t="n"/>
    </row>
    <row r="205" ht="15.75" customHeight="1" s="45">
      <c r="B205" s="11" t="n"/>
    </row>
    <row r="206" ht="15.75" customHeight="1" s="45">
      <c r="B206" s="11" t="n"/>
    </row>
    <row r="207" ht="15.75" customHeight="1" s="45">
      <c r="B207" s="11" t="n"/>
    </row>
    <row r="208" ht="15.75" customHeight="1" s="45">
      <c r="B208" s="11" t="n"/>
    </row>
    <row r="209" ht="15.75" customHeight="1" s="45">
      <c r="B209" s="11" t="n"/>
    </row>
    <row r="210" ht="15.75" customHeight="1" s="45">
      <c r="B210" s="11" t="n"/>
    </row>
    <row r="211" ht="15.75" customHeight="1" s="45">
      <c r="B211" s="11" t="n"/>
    </row>
    <row r="212" ht="15.75" customHeight="1" s="45">
      <c r="B212" s="11" t="n"/>
    </row>
    <row r="213" ht="15.75" customHeight="1" s="45">
      <c r="B213" s="11" t="n"/>
    </row>
    <row r="214" ht="15.75" customHeight="1" s="45">
      <c r="B214" s="11" t="n"/>
    </row>
    <row r="215" ht="15.75" customHeight="1" s="45">
      <c r="B215" s="11" t="n"/>
    </row>
    <row r="216" ht="15.75" customHeight="1" s="45">
      <c r="B216" s="11" t="n"/>
    </row>
    <row r="217" ht="15.75" customHeight="1" s="45">
      <c r="B217" s="11" t="n"/>
    </row>
    <row r="218" ht="15.75" customHeight="1" s="45">
      <c r="B218" s="11" t="n"/>
    </row>
    <row r="219" ht="15.75" customHeight="1" s="45">
      <c r="B219" s="11" t="n"/>
    </row>
    <row r="220" ht="15.75" customHeight="1" s="45">
      <c r="B220" s="11" t="n"/>
    </row>
    <row r="221" ht="15.75" customHeight="1" s="45">
      <c r="B221" s="11" t="n"/>
    </row>
    <row r="222" ht="15.75" customHeight="1" s="45">
      <c r="B222" s="11" t="n"/>
    </row>
    <row r="223" ht="15.75" customHeight="1" s="45">
      <c r="B223" s="11" t="n"/>
    </row>
    <row r="224" ht="15.75" customHeight="1" s="45">
      <c r="B224" s="11" t="n"/>
    </row>
    <row r="225" ht="15.75" customHeight="1" s="45">
      <c r="B225" s="11" t="n"/>
    </row>
    <row r="226" ht="15.75" customHeight="1" s="45">
      <c r="B226" s="11" t="n"/>
    </row>
    <row r="227" ht="15.75" customHeight="1" s="45">
      <c r="B227" s="11" t="n"/>
    </row>
    <row r="228" ht="15.75" customHeight="1" s="45">
      <c r="B228" s="11" t="n"/>
    </row>
    <row r="229" ht="15.75" customHeight="1" s="45">
      <c r="B229" s="11" t="n"/>
    </row>
    <row r="230" ht="15.75" customHeight="1" s="45">
      <c r="B230" s="11" t="n"/>
    </row>
    <row r="231" ht="15.75" customHeight="1" s="45">
      <c r="B231" s="11" t="n"/>
    </row>
    <row r="232" ht="15.75" customHeight="1" s="45">
      <c r="B232" s="11" t="n"/>
    </row>
    <row r="233" ht="15.75" customHeight="1" s="45">
      <c r="B233" s="11" t="n"/>
    </row>
    <row r="234" ht="15.75" customHeight="1" s="45">
      <c r="B234" s="11" t="n"/>
    </row>
    <row r="235" ht="15.75" customHeight="1" s="45">
      <c r="B235" s="11" t="n"/>
    </row>
    <row r="236" ht="15.75" customHeight="1" s="45">
      <c r="B236" s="11" t="n"/>
    </row>
    <row r="237" ht="15.75" customHeight="1" s="45">
      <c r="B237" s="11" t="n"/>
    </row>
    <row r="238" ht="15.75" customHeight="1" s="45">
      <c r="B238" s="11" t="n"/>
    </row>
    <row r="239" ht="15.75" customHeight="1" s="45">
      <c r="B239" s="11" t="n"/>
    </row>
    <row r="240" ht="15.75" customHeight="1" s="45">
      <c r="B240" s="11" t="n"/>
    </row>
    <row r="241" ht="15.75" customHeight="1" s="45">
      <c r="B241" s="11" t="n"/>
    </row>
    <row r="242" ht="15.75" customHeight="1" s="45">
      <c r="B242" s="11" t="n"/>
    </row>
    <row r="243" ht="15.75" customHeight="1" s="45">
      <c r="B243" s="11" t="n"/>
    </row>
    <row r="244" ht="15.75" customHeight="1" s="45">
      <c r="B244" s="11" t="n"/>
    </row>
    <row r="245" ht="15.75" customHeight="1" s="45">
      <c r="B245" s="11" t="n"/>
    </row>
    <row r="246" ht="15.75" customHeight="1" s="45">
      <c r="B246" s="11" t="n"/>
    </row>
    <row r="247" ht="15.75" customHeight="1" s="45">
      <c r="B247" s="11" t="n"/>
    </row>
    <row r="248" ht="15.75" customHeight="1" s="45">
      <c r="B248" s="11" t="n"/>
    </row>
    <row r="249" ht="15.75" customHeight="1" s="45">
      <c r="B249" s="11" t="n"/>
    </row>
    <row r="250" ht="15.75" customHeight="1" s="45">
      <c r="B250" s="11" t="n"/>
    </row>
    <row r="251" ht="15.75" customHeight="1" s="45">
      <c r="B251" s="11" t="n"/>
    </row>
    <row r="252" ht="15.75" customHeight="1" s="45">
      <c r="B252" s="11" t="n"/>
    </row>
    <row r="253" ht="15.75" customHeight="1" s="45">
      <c r="B253" s="11" t="n"/>
    </row>
    <row r="254" ht="15.75" customHeight="1" s="45">
      <c r="B254" s="11" t="n"/>
    </row>
    <row r="255" ht="15.75" customHeight="1" s="45">
      <c r="B255" s="11" t="n"/>
    </row>
    <row r="256" ht="15.75" customHeight="1" s="45">
      <c r="B256" s="11" t="n"/>
    </row>
    <row r="257" ht="15.75" customHeight="1" s="45">
      <c r="B257" s="11" t="n"/>
    </row>
    <row r="258" ht="15.75" customHeight="1" s="45">
      <c r="B258" s="11" t="n"/>
    </row>
    <row r="259" ht="15.75" customHeight="1" s="45">
      <c r="B259" s="11" t="n"/>
    </row>
    <row r="260" ht="15.75" customHeight="1" s="45">
      <c r="B260" s="11" t="n"/>
    </row>
    <row r="261" ht="15.75" customHeight="1" s="45">
      <c r="B261" s="11" t="n"/>
    </row>
    <row r="262" ht="15.75" customHeight="1" s="45">
      <c r="B262" s="11" t="n"/>
    </row>
    <row r="263" ht="15.75" customHeight="1" s="45">
      <c r="B263" s="11" t="n"/>
    </row>
    <row r="264" ht="15.75" customHeight="1" s="45">
      <c r="B264" s="11" t="n"/>
    </row>
    <row r="265" ht="15.75" customHeight="1" s="45">
      <c r="B265" s="11" t="n"/>
    </row>
    <row r="266" ht="15.75" customHeight="1" s="45">
      <c r="B266" s="11" t="n"/>
    </row>
    <row r="267" ht="15.75" customHeight="1" s="45">
      <c r="B267" s="11" t="n"/>
    </row>
    <row r="268" ht="15.75" customHeight="1" s="45">
      <c r="B268" s="11" t="n"/>
    </row>
    <row r="269" ht="15.75" customHeight="1" s="45">
      <c r="B269" s="11" t="n"/>
    </row>
    <row r="270" ht="15.75" customHeight="1" s="45">
      <c r="B270" s="11" t="n"/>
    </row>
    <row r="271" ht="15.75" customHeight="1" s="45">
      <c r="B271" s="11" t="n"/>
    </row>
    <row r="272" ht="15.75" customHeight="1" s="45">
      <c r="B272" s="11" t="n"/>
    </row>
    <row r="273" ht="15.75" customHeight="1" s="45">
      <c r="B273" s="11" t="n"/>
    </row>
    <row r="274" ht="15.75" customHeight="1" s="45">
      <c r="B274" s="11" t="n"/>
    </row>
    <row r="275" ht="15.75" customHeight="1" s="45">
      <c r="B275" s="11" t="n"/>
    </row>
    <row r="276" ht="15.75" customHeight="1" s="45">
      <c r="B276" s="11" t="n"/>
    </row>
    <row r="277" ht="15.75" customHeight="1" s="45">
      <c r="B277" s="11" t="n"/>
    </row>
    <row r="278" ht="15.75" customHeight="1" s="45">
      <c r="B278" s="11" t="n"/>
    </row>
    <row r="279" ht="15.75" customHeight="1" s="45">
      <c r="B279" s="11" t="n"/>
    </row>
    <row r="280" ht="15.75" customHeight="1" s="45">
      <c r="B280" s="11" t="n"/>
    </row>
    <row r="281" ht="15.75" customHeight="1" s="45">
      <c r="B281" s="11" t="n"/>
    </row>
    <row r="282" ht="15.75" customHeight="1" s="45">
      <c r="B282" s="11" t="n"/>
    </row>
    <row r="283" ht="15.75" customHeight="1" s="45">
      <c r="B283" s="11" t="n"/>
    </row>
    <row r="284" ht="15.75" customHeight="1" s="45">
      <c r="B284" s="11" t="n"/>
    </row>
    <row r="285" ht="15.75" customHeight="1" s="45">
      <c r="B285" s="11" t="n"/>
    </row>
    <row r="286" ht="15.75" customHeight="1" s="45">
      <c r="B286" s="11" t="n"/>
    </row>
    <row r="287" ht="15.75" customHeight="1" s="45">
      <c r="B287" s="11" t="n"/>
    </row>
    <row r="288" ht="15.75" customHeight="1" s="45">
      <c r="B288" s="11" t="n"/>
    </row>
    <row r="289" ht="15.75" customHeight="1" s="45">
      <c r="B289" s="11" t="n"/>
    </row>
    <row r="290" ht="15.75" customHeight="1" s="45">
      <c r="B290" s="11" t="n"/>
    </row>
    <row r="291" ht="15.75" customHeight="1" s="45">
      <c r="B291" s="11" t="n"/>
    </row>
    <row r="292" ht="15.75" customHeight="1" s="45">
      <c r="B292" s="11" t="n"/>
    </row>
    <row r="293" ht="15.75" customHeight="1" s="45">
      <c r="B293" s="11" t="n"/>
    </row>
    <row r="294" ht="15.75" customHeight="1" s="45">
      <c r="B294" s="11" t="n"/>
    </row>
    <row r="295" ht="15.75" customHeight="1" s="45">
      <c r="B295" s="11" t="n"/>
    </row>
    <row r="296" ht="15.75" customHeight="1" s="45">
      <c r="B296" s="11" t="n"/>
    </row>
    <row r="297" ht="15.75" customHeight="1" s="45">
      <c r="B297" s="11" t="n"/>
    </row>
    <row r="298" ht="15.75" customHeight="1" s="45">
      <c r="B298" s="11" t="n"/>
    </row>
    <row r="299" ht="15.75" customHeight="1" s="45">
      <c r="B299" s="11" t="n"/>
    </row>
    <row r="300" ht="15.75" customHeight="1" s="45">
      <c r="B300" s="11" t="n"/>
    </row>
    <row r="301" ht="15.75" customHeight="1" s="45">
      <c r="B301" s="11" t="n"/>
    </row>
    <row r="302" ht="15.75" customHeight="1" s="45">
      <c r="B302" s="11" t="n"/>
    </row>
    <row r="303" ht="15.75" customHeight="1" s="45">
      <c r="B303" s="11" t="n"/>
    </row>
    <row r="304" ht="15.75" customHeight="1" s="45">
      <c r="B304" s="11" t="n"/>
    </row>
    <row r="305" ht="15.75" customHeight="1" s="45">
      <c r="B305" s="11" t="n"/>
    </row>
    <row r="306" ht="15.75" customHeight="1" s="45">
      <c r="B306" s="11" t="n"/>
    </row>
    <row r="307" ht="15.75" customHeight="1" s="45">
      <c r="B307" s="11" t="n"/>
    </row>
    <row r="308" ht="15.75" customHeight="1" s="45">
      <c r="B308" s="11" t="n"/>
    </row>
    <row r="309" ht="15.75" customHeight="1" s="45">
      <c r="B309" s="11" t="n"/>
    </row>
    <row r="310" ht="15.75" customHeight="1" s="45">
      <c r="B310" s="11" t="n"/>
    </row>
    <row r="311" ht="15.75" customHeight="1" s="45">
      <c r="B311" s="11" t="n"/>
    </row>
    <row r="312" ht="15.75" customHeight="1" s="45">
      <c r="B312" s="11" t="n"/>
    </row>
    <row r="313" ht="15.75" customHeight="1" s="45">
      <c r="B313" s="11" t="n"/>
    </row>
    <row r="314" ht="15.75" customHeight="1" s="45">
      <c r="B314" s="11" t="n"/>
    </row>
    <row r="315" ht="15.75" customHeight="1" s="45">
      <c r="B315" s="11" t="n"/>
    </row>
    <row r="316" ht="15.75" customHeight="1" s="45">
      <c r="B316" s="11" t="n"/>
    </row>
    <row r="317" ht="15.75" customHeight="1" s="45">
      <c r="B317" s="11" t="n"/>
    </row>
    <row r="318" ht="15.75" customHeight="1" s="45">
      <c r="B318" s="11" t="n"/>
    </row>
    <row r="319" ht="15.75" customHeight="1" s="45">
      <c r="B319" s="11" t="n"/>
    </row>
    <row r="320" ht="15.75" customHeight="1" s="45">
      <c r="B320" s="11" t="n"/>
    </row>
    <row r="321" ht="15.75" customHeight="1" s="45">
      <c r="B321" s="11" t="n"/>
    </row>
    <row r="322" ht="15.75" customHeight="1" s="45">
      <c r="B322" s="11" t="n"/>
    </row>
    <row r="323" ht="15.75" customHeight="1" s="45">
      <c r="B323" s="11" t="n"/>
    </row>
    <row r="324" ht="15.75" customHeight="1" s="45">
      <c r="B324" s="11" t="n"/>
    </row>
    <row r="325" ht="15.75" customHeight="1" s="45">
      <c r="B325" s="11" t="n"/>
    </row>
    <row r="326" ht="15.75" customHeight="1" s="45">
      <c r="B326" s="11" t="n"/>
    </row>
    <row r="327" ht="15.75" customHeight="1" s="45">
      <c r="B327" s="11" t="n"/>
    </row>
    <row r="328" ht="15.75" customHeight="1" s="45">
      <c r="B328" s="11" t="n"/>
    </row>
    <row r="329" ht="15.75" customHeight="1" s="45">
      <c r="B329" s="11" t="n"/>
    </row>
    <row r="330" ht="15.75" customHeight="1" s="45">
      <c r="B330" s="11" t="n"/>
    </row>
    <row r="331" ht="15.75" customHeight="1" s="45">
      <c r="B331" s="11" t="n"/>
    </row>
    <row r="332" ht="15.75" customHeight="1" s="45">
      <c r="B332" s="11" t="n"/>
    </row>
    <row r="333" ht="15.75" customHeight="1" s="45">
      <c r="B333" s="11" t="n"/>
    </row>
    <row r="334" ht="15.75" customHeight="1" s="45">
      <c r="B334" s="11" t="n"/>
    </row>
    <row r="335" ht="15.75" customHeight="1" s="45">
      <c r="B335" s="11" t="n"/>
    </row>
    <row r="336" ht="15.75" customHeight="1" s="45">
      <c r="B336" s="11" t="n"/>
    </row>
    <row r="337" ht="15.75" customHeight="1" s="45">
      <c r="B337" s="11" t="n"/>
    </row>
    <row r="338" ht="15.75" customHeight="1" s="45">
      <c r="B338" s="11" t="n"/>
    </row>
    <row r="339" ht="15.75" customHeight="1" s="45">
      <c r="B339" s="11" t="n"/>
    </row>
    <row r="340" ht="15.75" customHeight="1" s="45">
      <c r="B340" s="11" t="n"/>
    </row>
    <row r="341" ht="15.75" customHeight="1" s="45">
      <c r="B341" s="11" t="n"/>
    </row>
    <row r="342" ht="15.75" customHeight="1" s="45">
      <c r="B342" s="11" t="n"/>
    </row>
    <row r="343" ht="15.75" customHeight="1" s="45">
      <c r="B343" s="11" t="n"/>
    </row>
    <row r="344" ht="15.75" customHeight="1" s="45">
      <c r="B344" s="11" t="n"/>
    </row>
    <row r="345" ht="15.75" customHeight="1" s="45">
      <c r="B345" s="11" t="n"/>
    </row>
    <row r="346" ht="15.75" customHeight="1" s="45">
      <c r="B346" s="11" t="n"/>
    </row>
    <row r="347" ht="15.75" customHeight="1" s="45">
      <c r="B347" s="11" t="n"/>
    </row>
    <row r="348" ht="15.75" customHeight="1" s="45">
      <c r="B348" s="11" t="n"/>
    </row>
    <row r="349" ht="15.75" customHeight="1" s="45">
      <c r="B349" s="11" t="n"/>
    </row>
    <row r="350" ht="15.75" customHeight="1" s="45">
      <c r="B350" s="11" t="n"/>
    </row>
    <row r="351" ht="15.75" customHeight="1" s="45">
      <c r="B351" s="11" t="n"/>
    </row>
    <row r="352" ht="15.75" customHeight="1" s="45">
      <c r="B352" s="11" t="n"/>
    </row>
    <row r="353" ht="15.75" customHeight="1" s="45">
      <c r="B353" s="11" t="n"/>
    </row>
    <row r="354" ht="15.75" customHeight="1" s="45">
      <c r="B354" s="11" t="n"/>
    </row>
    <row r="355" ht="15.75" customHeight="1" s="45">
      <c r="B355" s="11" t="n"/>
    </row>
    <row r="356" ht="15.75" customHeight="1" s="45">
      <c r="B356" s="11" t="n"/>
    </row>
    <row r="357" ht="15.75" customHeight="1" s="45">
      <c r="B357" s="11" t="n"/>
    </row>
    <row r="358" ht="15.75" customHeight="1" s="45">
      <c r="B358" s="11" t="n"/>
    </row>
    <row r="359" ht="15.75" customHeight="1" s="45">
      <c r="B359" s="11" t="n"/>
    </row>
    <row r="360" ht="15.75" customHeight="1" s="45">
      <c r="B360" s="11" t="n"/>
    </row>
    <row r="361" ht="15.75" customHeight="1" s="45">
      <c r="B361" s="11" t="n"/>
    </row>
    <row r="362" ht="15.75" customHeight="1" s="45">
      <c r="B362" s="11" t="n"/>
    </row>
    <row r="363" ht="15.75" customHeight="1" s="45">
      <c r="B363" s="11" t="n"/>
    </row>
    <row r="364" ht="15.75" customHeight="1" s="45">
      <c r="B364" s="11" t="n"/>
    </row>
    <row r="365" ht="15.75" customHeight="1" s="45">
      <c r="B365" s="11" t="n"/>
    </row>
    <row r="366" ht="15.75" customHeight="1" s="45">
      <c r="B366" s="11" t="n"/>
    </row>
    <row r="367" ht="15.75" customHeight="1" s="45">
      <c r="B367" s="11" t="n"/>
    </row>
    <row r="368" ht="15.75" customHeight="1" s="45">
      <c r="B368" s="11" t="n"/>
    </row>
    <row r="369" ht="15.75" customHeight="1" s="45">
      <c r="B369" s="11" t="n"/>
    </row>
    <row r="370" ht="15.75" customHeight="1" s="45">
      <c r="B370" s="11" t="n"/>
    </row>
    <row r="371" ht="15.75" customHeight="1" s="45">
      <c r="B371" s="11" t="n"/>
    </row>
    <row r="372" ht="15.75" customHeight="1" s="45">
      <c r="B372" s="11" t="n"/>
    </row>
    <row r="373" ht="15.75" customHeight="1" s="45">
      <c r="B373" s="11" t="n"/>
    </row>
    <row r="374" ht="15.75" customHeight="1" s="45">
      <c r="B374" s="11" t="n"/>
    </row>
    <row r="375" ht="15.75" customHeight="1" s="45">
      <c r="B375" s="11" t="n"/>
    </row>
    <row r="376" ht="15.75" customHeight="1" s="45">
      <c r="B376" s="11" t="n"/>
    </row>
    <row r="377" ht="15.75" customHeight="1" s="45">
      <c r="B377" s="11" t="n"/>
    </row>
    <row r="378" ht="15.75" customHeight="1" s="45">
      <c r="B378" s="11" t="n"/>
    </row>
    <row r="379" ht="15.75" customHeight="1" s="45">
      <c r="B379" s="11" t="n"/>
    </row>
    <row r="380" ht="15.75" customHeight="1" s="45">
      <c r="B380" s="11" t="n"/>
    </row>
    <row r="381" ht="15.75" customHeight="1" s="45">
      <c r="B381" s="11" t="n"/>
    </row>
    <row r="382" ht="15.75" customHeight="1" s="45">
      <c r="B382" s="11" t="n"/>
    </row>
    <row r="383" ht="15.75" customHeight="1" s="45">
      <c r="B383" s="11" t="n"/>
    </row>
    <row r="384" ht="15.75" customHeight="1" s="45">
      <c r="B384" s="11" t="n"/>
    </row>
    <row r="385" ht="15.75" customHeight="1" s="45">
      <c r="B385" s="11" t="n"/>
    </row>
    <row r="386" ht="15.75" customHeight="1" s="45">
      <c r="B386" s="11" t="n"/>
    </row>
    <row r="387" ht="15.75" customHeight="1" s="45">
      <c r="B387" s="11" t="n"/>
    </row>
    <row r="388" ht="15.75" customHeight="1" s="45">
      <c r="B388" s="11" t="n"/>
    </row>
    <row r="389" ht="15.75" customHeight="1" s="45">
      <c r="B389" s="11" t="n"/>
    </row>
    <row r="390" ht="15.75" customHeight="1" s="45">
      <c r="B390" s="11" t="n"/>
    </row>
    <row r="391" ht="15.75" customHeight="1" s="45">
      <c r="B391" s="11" t="n"/>
    </row>
    <row r="392" ht="15.75" customHeight="1" s="45">
      <c r="B392" s="11" t="n"/>
    </row>
    <row r="393" ht="15.75" customHeight="1" s="45">
      <c r="B393" s="11" t="n"/>
    </row>
    <row r="394" ht="15.75" customHeight="1" s="45">
      <c r="B394" s="11" t="n"/>
    </row>
    <row r="395" ht="15.75" customHeight="1" s="45">
      <c r="B395" s="11" t="n"/>
    </row>
    <row r="396" ht="15.75" customHeight="1" s="45">
      <c r="B396" s="11" t="n"/>
    </row>
    <row r="397" ht="15.75" customHeight="1" s="45">
      <c r="B397" s="11" t="n"/>
    </row>
    <row r="398" ht="15.75" customHeight="1" s="45">
      <c r="B398" s="11" t="n"/>
    </row>
    <row r="399" ht="15.75" customHeight="1" s="45">
      <c r="B399" s="11" t="n"/>
    </row>
    <row r="400" ht="15.75" customHeight="1" s="45">
      <c r="B400" s="11" t="n"/>
    </row>
    <row r="401" ht="15.75" customHeight="1" s="45">
      <c r="B401" s="11" t="n"/>
    </row>
    <row r="402" ht="15.75" customHeight="1" s="45">
      <c r="B402" s="11" t="n"/>
    </row>
    <row r="403" ht="15.75" customHeight="1" s="45">
      <c r="B403" s="11" t="n"/>
    </row>
    <row r="404" ht="15.75" customHeight="1" s="45">
      <c r="B404" s="11" t="n"/>
    </row>
    <row r="405" ht="15.75" customHeight="1" s="45">
      <c r="B405" s="11" t="n"/>
    </row>
    <row r="406" ht="15.75" customHeight="1" s="45">
      <c r="B406" s="11" t="n"/>
    </row>
    <row r="407" ht="15.75" customHeight="1" s="45">
      <c r="B407" s="11" t="n"/>
    </row>
    <row r="408" ht="15.75" customHeight="1" s="45">
      <c r="B408" s="11" t="n"/>
    </row>
    <row r="409" ht="15.75" customHeight="1" s="45">
      <c r="B409" s="11" t="n"/>
    </row>
    <row r="410" ht="15.75" customHeight="1" s="45">
      <c r="B410" s="11" t="n"/>
    </row>
    <row r="411" ht="15.75" customHeight="1" s="45">
      <c r="B411" s="11" t="n"/>
    </row>
    <row r="412" ht="15.75" customHeight="1" s="45">
      <c r="B412" s="11" t="n"/>
    </row>
    <row r="413" ht="15.75" customHeight="1" s="45">
      <c r="B413" s="11" t="n"/>
    </row>
    <row r="414" ht="15.75" customHeight="1" s="45">
      <c r="B414" s="11" t="n"/>
    </row>
    <row r="415" ht="15.75" customHeight="1" s="45">
      <c r="B415" s="11" t="n"/>
    </row>
    <row r="416" ht="15.75" customHeight="1" s="45">
      <c r="B416" s="11" t="n"/>
    </row>
    <row r="417" ht="15.75" customHeight="1" s="45">
      <c r="B417" s="11" t="n"/>
    </row>
    <row r="418" ht="15.75" customHeight="1" s="45">
      <c r="B418" s="11" t="n"/>
    </row>
    <row r="419" ht="15.75" customHeight="1" s="45">
      <c r="B419" s="11" t="n"/>
    </row>
    <row r="420" ht="15.75" customHeight="1" s="45">
      <c r="B420" s="11" t="n"/>
    </row>
    <row r="421" ht="15.75" customHeight="1" s="45">
      <c r="B421" s="11" t="n"/>
    </row>
    <row r="422" ht="15.75" customHeight="1" s="45">
      <c r="B422" s="11" t="n"/>
    </row>
    <row r="423" ht="15.75" customHeight="1" s="45">
      <c r="B423" s="11" t="n"/>
    </row>
    <row r="424" ht="15.75" customHeight="1" s="45">
      <c r="B424" s="11" t="n"/>
    </row>
    <row r="425" ht="15.75" customHeight="1" s="45">
      <c r="B425" s="11" t="n"/>
    </row>
    <row r="426" ht="15.75" customHeight="1" s="45">
      <c r="B426" s="11" t="n"/>
    </row>
    <row r="427" ht="15.75" customHeight="1" s="45">
      <c r="B427" s="11" t="n"/>
    </row>
    <row r="428" ht="15.75" customHeight="1" s="45">
      <c r="B428" s="11" t="n"/>
    </row>
    <row r="429" ht="15.75" customHeight="1" s="45">
      <c r="B429" s="11" t="n"/>
    </row>
    <row r="430" ht="15.75" customHeight="1" s="45">
      <c r="B430" s="11" t="n"/>
    </row>
    <row r="431" ht="15.75" customHeight="1" s="45">
      <c r="B431" s="11" t="n"/>
    </row>
    <row r="432" ht="15.75" customHeight="1" s="45">
      <c r="B432" s="11" t="n"/>
    </row>
    <row r="433" ht="15.75" customHeight="1" s="45">
      <c r="B433" s="11" t="n"/>
    </row>
    <row r="434" ht="15.75" customHeight="1" s="45">
      <c r="B434" s="11" t="n"/>
    </row>
    <row r="435" ht="15.75" customHeight="1" s="45">
      <c r="B435" s="11" t="n"/>
    </row>
    <row r="436" ht="15.75" customHeight="1" s="45">
      <c r="B436" s="11" t="n"/>
    </row>
    <row r="437" ht="15.75" customHeight="1" s="45">
      <c r="B437" s="11" t="n"/>
    </row>
    <row r="438" ht="15.75" customHeight="1" s="45">
      <c r="B438" s="11" t="n"/>
    </row>
    <row r="439" ht="15.75" customHeight="1" s="45">
      <c r="B439" s="11" t="n"/>
    </row>
    <row r="440" ht="15.75" customHeight="1" s="45">
      <c r="B440" s="11" t="n"/>
    </row>
    <row r="441" ht="15.75" customHeight="1" s="45">
      <c r="B441" s="11" t="n"/>
    </row>
    <row r="442" ht="15.75" customHeight="1" s="45">
      <c r="B442" s="11" t="n"/>
    </row>
    <row r="443" ht="15.75" customHeight="1" s="45">
      <c r="B443" s="11" t="n"/>
    </row>
    <row r="444" ht="15.75" customHeight="1" s="45">
      <c r="B444" s="11" t="n"/>
    </row>
    <row r="445" ht="15.75" customHeight="1" s="45">
      <c r="B445" s="11" t="n"/>
    </row>
    <row r="446" ht="15.75" customHeight="1" s="45">
      <c r="B446" s="11" t="n"/>
    </row>
    <row r="447" ht="15.75" customHeight="1" s="45">
      <c r="B447" s="11" t="n"/>
    </row>
    <row r="448" ht="15.75" customHeight="1" s="45">
      <c r="B448" s="11" t="n"/>
    </row>
    <row r="449" ht="15.75" customHeight="1" s="45">
      <c r="B449" s="11" t="n"/>
    </row>
    <row r="450" ht="15.75" customHeight="1" s="45">
      <c r="B450" s="11" t="n"/>
    </row>
    <row r="451" ht="15.75" customHeight="1" s="45">
      <c r="B451" s="11" t="n"/>
    </row>
    <row r="452" ht="15.75" customHeight="1" s="45">
      <c r="B452" s="11" t="n"/>
    </row>
    <row r="453" ht="15.75" customHeight="1" s="45">
      <c r="B453" s="11" t="n"/>
    </row>
    <row r="454" ht="15.75" customHeight="1" s="45">
      <c r="B454" s="11" t="n"/>
    </row>
    <row r="455" ht="15.75" customHeight="1" s="45">
      <c r="B455" s="11" t="n"/>
    </row>
    <row r="456" ht="15.75" customHeight="1" s="45">
      <c r="B456" s="11" t="n"/>
    </row>
    <row r="457" ht="15.75" customHeight="1" s="45">
      <c r="B457" s="11" t="n"/>
    </row>
    <row r="458" ht="15.75" customHeight="1" s="45">
      <c r="B458" s="11" t="n"/>
    </row>
    <row r="459" ht="15.75" customHeight="1" s="45">
      <c r="B459" s="11" t="n"/>
    </row>
    <row r="460" ht="15.75" customHeight="1" s="45">
      <c r="B460" s="11" t="n"/>
    </row>
    <row r="461" ht="15.75" customHeight="1" s="45">
      <c r="B461" s="11" t="n"/>
    </row>
    <row r="462" ht="15.75" customHeight="1" s="45">
      <c r="B462" s="11" t="n"/>
    </row>
    <row r="463" ht="15.75" customHeight="1" s="45">
      <c r="B463" s="11" t="n"/>
    </row>
    <row r="464" ht="15.75" customHeight="1" s="45">
      <c r="B464" s="11" t="n"/>
    </row>
    <row r="465" ht="15.75" customHeight="1" s="45">
      <c r="B465" s="11" t="n"/>
    </row>
    <row r="466" ht="15.75" customHeight="1" s="45">
      <c r="B466" s="11" t="n"/>
    </row>
    <row r="467" ht="15.75" customHeight="1" s="45">
      <c r="B467" s="11" t="n"/>
    </row>
    <row r="468" ht="15.75" customHeight="1" s="45">
      <c r="B468" s="11" t="n"/>
    </row>
    <row r="469" ht="15.75" customHeight="1" s="45">
      <c r="B469" s="11" t="n"/>
    </row>
    <row r="470" ht="15.75" customHeight="1" s="45">
      <c r="B470" s="11" t="n"/>
    </row>
    <row r="471" ht="15.75" customHeight="1" s="45">
      <c r="B471" s="11" t="n"/>
    </row>
    <row r="472" ht="15.75" customHeight="1" s="45">
      <c r="B472" s="11" t="n"/>
    </row>
    <row r="473" ht="15.75" customHeight="1" s="45">
      <c r="B473" s="11" t="n"/>
    </row>
    <row r="474" ht="15.75" customHeight="1" s="45">
      <c r="B474" s="11" t="n"/>
    </row>
    <row r="475" ht="15.75" customHeight="1" s="45">
      <c r="B475" s="11" t="n"/>
    </row>
    <row r="476" ht="15.75" customHeight="1" s="45">
      <c r="B476" s="11" t="n"/>
    </row>
    <row r="477" ht="15.75" customHeight="1" s="45">
      <c r="B477" s="11" t="n"/>
    </row>
    <row r="478" ht="15.75" customHeight="1" s="45">
      <c r="B478" s="11" t="n"/>
    </row>
    <row r="479" ht="15.75" customHeight="1" s="45">
      <c r="B479" s="11" t="n"/>
    </row>
    <row r="480" ht="15.75" customHeight="1" s="45">
      <c r="B480" s="11" t="n"/>
    </row>
    <row r="481" ht="15.75" customHeight="1" s="45">
      <c r="B481" s="11" t="n"/>
    </row>
    <row r="482" ht="15.75" customHeight="1" s="45">
      <c r="B482" s="11" t="n"/>
    </row>
    <row r="483" ht="15.75" customHeight="1" s="45">
      <c r="B483" s="11" t="n"/>
    </row>
    <row r="484" ht="15.75" customHeight="1" s="45">
      <c r="B484" s="11" t="n"/>
    </row>
    <row r="485" ht="15.75" customHeight="1" s="45">
      <c r="B485" s="11" t="n"/>
    </row>
    <row r="486" ht="15.75" customHeight="1" s="45">
      <c r="B486" s="11" t="n"/>
    </row>
    <row r="487" ht="15.75" customHeight="1" s="45">
      <c r="B487" s="11" t="n"/>
    </row>
    <row r="488" ht="15.75" customHeight="1" s="45">
      <c r="B488" s="11" t="n"/>
    </row>
    <row r="489" ht="15.75" customHeight="1" s="45">
      <c r="B489" s="11" t="n"/>
    </row>
    <row r="490" ht="15.75" customHeight="1" s="45">
      <c r="B490" s="11" t="n"/>
    </row>
    <row r="491" ht="15.75" customHeight="1" s="45">
      <c r="B491" s="11" t="n"/>
    </row>
    <row r="492" ht="15.75" customHeight="1" s="45">
      <c r="B492" s="11" t="n"/>
    </row>
    <row r="493" ht="15.75" customHeight="1" s="45">
      <c r="B493" s="11" t="n"/>
    </row>
    <row r="494" ht="15.75" customHeight="1" s="45">
      <c r="B494" s="11" t="n"/>
    </row>
    <row r="495" ht="15.75" customHeight="1" s="45">
      <c r="B495" s="11" t="n"/>
    </row>
    <row r="496" ht="15.75" customHeight="1" s="45">
      <c r="B496" s="11" t="n"/>
    </row>
    <row r="497" ht="15.75" customHeight="1" s="45">
      <c r="B497" s="11" t="n"/>
    </row>
    <row r="498" ht="15.75" customHeight="1" s="45">
      <c r="B498" s="11" t="n"/>
    </row>
    <row r="499" ht="15.75" customHeight="1" s="45">
      <c r="B499" s="11" t="n"/>
    </row>
    <row r="500" ht="15.75" customHeight="1" s="45">
      <c r="B500" s="11" t="n"/>
    </row>
    <row r="501" ht="15.75" customHeight="1" s="45">
      <c r="B501" s="11" t="n"/>
    </row>
    <row r="502" ht="15.75" customHeight="1" s="45">
      <c r="B502" s="11" t="n"/>
    </row>
    <row r="503" ht="15.75" customHeight="1" s="45">
      <c r="B503" s="11" t="n"/>
    </row>
    <row r="504" ht="15.75" customHeight="1" s="45">
      <c r="B504" s="11" t="n"/>
    </row>
    <row r="505" ht="15.75" customHeight="1" s="45">
      <c r="B505" s="11" t="n"/>
    </row>
    <row r="506" ht="15.75" customHeight="1" s="45">
      <c r="B506" s="11" t="n"/>
    </row>
    <row r="507" ht="15.75" customHeight="1" s="45">
      <c r="B507" s="11" t="n"/>
    </row>
    <row r="508" ht="15.75" customHeight="1" s="45">
      <c r="B508" s="11" t="n"/>
    </row>
    <row r="509" ht="15.75" customHeight="1" s="45">
      <c r="B509" s="11" t="n"/>
    </row>
    <row r="510" ht="15.75" customHeight="1" s="45">
      <c r="B510" s="11" t="n"/>
    </row>
    <row r="511" ht="15.75" customHeight="1" s="45">
      <c r="B511" s="11" t="n"/>
    </row>
    <row r="512" ht="15.75" customHeight="1" s="45">
      <c r="B512" s="11" t="n"/>
    </row>
    <row r="513" ht="15.75" customHeight="1" s="45">
      <c r="B513" s="11" t="n"/>
    </row>
    <row r="514" ht="15.75" customHeight="1" s="45">
      <c r="B514" s="11" t="n"/>
    </row>
    <row r="515" ht="15.75" customHeight="1" s="45">
      <c r="B515" s="11" t="n"/>
    </row>
    <row r="516" ht="15.75" customHeight="1" s="45">
      <c r="B516" s="11" t="n"/>
    </row>
    <row r="517" ht="15.75" customHeight="1" s="45">
      <c r="B517" s="11" t="n"/>
    </row>
    <row r="518" ht="15.75" customHeight="1" s="45">
      <c r="B518" s="11" t="n"/>
    </row>
    <row r="519" ht="15.75" customHeight="1" s="45">
      <c r="B519" s="11" t="n"/>
    </row>
    <row r="520" ht="15.75" customHeight="1" s="45">
      <c r="B520" s="11" t="n"/>
    </row>
    <row r="521" ht="15.75" customHeight="1" s="45">
      <c r="B521" s="11" t="n"/>
    </row>
    <row r="522" ht="15.75" customHeight="1" s="45">
      <c r="B522" s="11" t="n"/>
    </row>
    <row r="523" ht="15.75" customHeight="1" s="45">
      <c r="B523" s="11" t="n"/>
    </row>
    <row r="524" ht="15.75" customHeight="1" s="45">
      <c r="B524" s="11" t="n"/>
    </row>
    <row r="525" ht="15.75" customHeight="1" s="45">
      <c r="B525" s="11" t="n"/>
    </row>
    <row r="526" ht="15.75" customHeight="1" s="45">
      <c r="B526" s="11" t="n"/>
    </row>
    <row r="527" ht="15.75" customHeight="1" s="45">
      <c r="B527" s="11" t="n"/>
    </row>
    <row r="528" ht="15.75" customHeight="1" s="45">
      <c r="B528" s="11" t="n"/>
    </row>
    <row r="529" ht="15.75" customHeight="1" s="45">
      <c r="B529" s="11" t="n"/>
    </row>
    <row r="530" ht="15.75" customHeight="1" s="45">
      <c r="B530" s="11" t="n"/>
    </row>
    <row r="531" ht="15.75" customHeight="1" s="45">
      <c r="B531" s="11" t="n"/>
    </row>
    <row r="532" ht="15.75" customHeight="1" s="45">
      <c r="B532" s="11" t="n"/>
    </row>
    <row r="533" ht="15.75" customHeight="1" s="45">
      <c r="B533" s="11" t="n"/>
    </row>
    <row r="534" ht="15.75" customHeight="1" s="45">
      <c r="B534" s="11" t="n"/>
    </row>
    <row r="535" ht="15.75" customHeight="1" s="45">
      <c r="B535" s="11" t="n"/>
    </row>
    <row r="536" ht="15.75" customHeight="1" s="45">
      <c r="B536" s="11" t="n"/>
    </row>
    <row r="537" ht="15.75" customHeight="1" s="45">
      <c r="B537" s="11" t="n"/>
    </row>
    <row r="538" ht="15.75" customHeight="1" s="45">
      <c r="B538" s="11" t="n"/>
    </row>
    <row r="539" ht="15.75" customHeight="1" s="45">
      <c r="B539" s="11" t="n"/>
    </row>
    <row r="540" ht="15.75" customHeight="1" s="45">
      <c r="B540" s="11" t="n"/>
    </row>
    <row r="541" ht="15.75" customHeight="1" s="45">
      <c r="B541" s="11" t="n"/>
    </row>
    <row r="542" ht="15.75" customHeight="1" s="45">
      <c r="B542" s="11" t="n"/>
    </row>
    <row r="543" ht="15.75" customHeight="1" s="45">
      <c r="B543" s="11" t="n"/>
    </row>
    <row r="544" ht="15.75" customHeight="1" s="45">
      <c r="B544" s="11" t="n"/>
    </row>
    <row r="545" ht="15.75" customHeight="1" s="45">
      <c r="B545" s="11" t="n"/>
    </row>
    <row r="546" ht="15.75" customHeight="1" s="45">
      <c r="B546" s="11" t="n"/>
    </row>
    <row r="547" ht="15.75" customHeight="1" s="45">
      <c r="B547" s="11" t="n"/>
    </row>
    <row r="548" ht="15.75" customHeight="1" s="45">
      <c r="B548" s="11" t="n"/>
    </row>
    <row r="549" ht="15.75" customHeight="1" s="45">
      <c r="B549" s="11" t="n"/>
    </row>
    <row r="550" ht="15.75" customHeight="1" s="45">
      <c r="B550" s="11" t="n"/>
    </row>
    <row r="551" ht="15.75" customHeight="1" s="45">
      <c r="B551" s="11" t="n"/>
    </row>
    <row r="552" ht="15.75" customHeight="1" s="45">
      <c r="B552" s="11" t="n"/>
    </row>
    <row r="553" ht="15.75" customHeight="1" s="45">
      <c r="B553" s="11" t="n"/>
    </row>
    <row r="554" ht="15.75" customHeight="1" s="45">
      <c r="B554" s="11" t="n"/>
    </row>
    <row r="555" ht="15.75" customHeight="1" s="45">
      <c r="B555" s="11" t="n"/>
    </row>
    <row r="556" ht="15.75" customHeight="1" s="45">
      <c r="B556" s="11" t="n"/>
    </row>
    <row r="557" ht="15.75" customHeight="1" s="45">
      <c r="B557" s="11" t="n"/>
    </row>
    <row r="558" ht="15.75" customHeight="1" s="45">
      <c r="B558" s="11" t="n"/>
    </row>
    <row r="559" ht="15.75" customHeight="1" s="45">
      <c r="B559" s="11" t="n"/>
    </row>
    <row r="560" ht="15.75" customHeight="1" s="45">
      <c r="B560" s="11" t="n"/>
    </row>
    <row r="561" ht="15.75" customHeight="1" s="45">
      <c r="B561" s="11" t="n"/>
    </row>
    <row r="562" ht="15.75" customHeight="1" s="45">
      <c r="B562" s="11" t="n"/>
    </row>
    <row r="563" ht="15.75" customHeight="1" s="45">
      <c r="B563" s="11" t="n"/>
    </row>
    <row r="564" ht="15.75" customHeight="1" s="45">
      <c r="B564" s="11" t="n"/>
    </row>
    <row r="565" ht="15.75" customHeight="1" s="45">
      <c r="B565" s="11" t="n"/>
    </row>
    <row r="566" ht="15.75" customHeight="1" s="45">
      <c r="B566" s="11" t="n"/>
    </row>
    <row r="567" ht="15.75" customHeight="1" s="45">
      <c r="B567" s="11" t="n"/>
    </row>
    <row r="568" ht="15.75" customHeight="1" s="45">
      <c r="B568" s="11" t="n"/>
    </row>
    <row r="569" ht="15.75" customHeight="1" s="45">
      <c r="B569" s="11" t="n"/>
    </row>
    <row r="570" ht="15.75" customHeight="1" s="45">
      <c r="B570" s="11" t="n"/>
    </row>
    <row r="571" ht="15.75" customHeight="1" s="45">
      <c r="B571" s="11" t="n"/>
    </row>
    <row r="572" ht="15.75" customHeight="1" s="45">
      <c r="B572" s="11" t="n"/>
    </row>
    <row r="573" ht="15.75" customHeight="1" s="45">
      <c r="B573" s="11" t="n"/>
    </row>
    <row r="574" ht="15.75" customHeight="1" s="45">
      <c r="B574" s="11" t="n"/>
    </row>
    <row r="575" ht="15.75" customHeight="1" s="45">
      <c r="B575" s="11" t="n"/>
    </row>
    <row r="576" ht="15.75" customHeight="1" s="45">
      <c r="B576" s="11" t="n"/>
    </row>
    <row r="577" ht="15.75" customHeight="1" s="45">
      <c r="B577" s="11" t="n"/>
    </row>
    <row r="578" ht="15.75" customHeight="1" s="45">
      <c r="B578" s="11" t="n"/>
    </row>
    <row r="579" ht="15.75" customHeight="1" s="45">
      <c r="B579" s="11" t="n"/>
    </row>
    <row r="580" ht="15.75" customHeight="1" s="45">
      <c r="B580" s="11" t="n"/>
    </row>
    <row r="581" ht="15.75" customHeight="1" s="45">
      <c r="B581" s="11" t="n"/>
    </row>
    <row r="582" ht="15.75" customHeight="1" s="45">
      <c r="B582" s="11" t="n"/>
    </row>
    <row r="583" ht="15.75" customHeight="1" s="45">
      <c r="B583" s="11" t="n"/>
    </row>
    <row r="584" ht="15.75" customHeight="1" s="45">
      <c r="B584" s="11" t="n"/>
    </row>
    <row r="585" ht="15.75" customHeight="1" s="45">
      <c r="B585" s="11" t="n"/>
    </row>
    <row r="586" ht="15.75" customHeight="1" s="45">
      <c r="B586" s="11" t="n"/>
    </row>
    <row r="587" ht="15.75" customHeight="1" s="45">
      <c r="B587" s="11" t="n"/>
    </row>
    <row r="588" ht="15.75" customHeight="1" s="45">
      <c r="B588" s="11" t="n"/>
    </row>
    <row r="589" ht="15.75" customHeight="1" s="45">
      <c r="B589" s="11" t="n"/>
    </row>
    <row r="590" ht="15.75" customHeight="1" s="45">
      <c r="B590" s="11" t="n"/>
    </row>
    <row r="591" ht="15.75" customHeight="1" s="45">
      <c r="B591" s="11" t="n"/>
    </row>
    <row r="592" ht="15.75" customHeight="1" s="45">
      <c r="B592" s="11" t="n"/>
    </row>
    <row r="593" ht="15.75" customHeight="1" s="45">
      <c r="B593" s="11" t="n"/>
    </row>
    <row r="594" ht="15.75" customHeight="1" s="45">
      <c r="B594" s="11" t="n"/>
    </row>
    <row r="595" ht="15.75" customHeight="1" s="45">
      <c r="B595" s="11" t="n"/>
    </row>
    <row r="596" ht="15.75" customHeight="1" s="45">
      <c r="B596" s="11" t="n"/>
    </row>
    <row r="597" ht="15.75" customHeight="1" s="45">
      <c r="B597" s="11" t="n"/>
    </row>
    <row r="598" ht="15.75" customHeight="1" s="45">
      <c r="B598" s="11" t="n"/>
    </row>
    <row r="599" ht="15.75" customHeight="1" s="45">
      <c r="B599" s="11" t="n"/>
    </row>
    <row r="600" ht="15.75" customHeight="1" s="45">
      <c r="B600" s="11" t="n"/>
    </row>
    <row r="601" ht="15.75" customHeight="1" s="45">
      <c r="B601" s="11" t="n"/>
    </row>
    <row r="602" ht="15.75" customHeight="1" s="45">
      <c r="B602" s="11" t="n"/>
    </row>
    <row r="603" ht="15.75" customHeight="1" s="45">
      <c r="B603" s="11" t="n"/>
    </row>
    <row r="604" ht="15.75" customHeight="1" s="45">
      <c r="B604" s="11" t="n"/>
    </row>
    <row r="605" ht="15.75" customHeight="1" s="45">
      <c r="B605" s="11" t="n"/>
    </row>
    <row r="606" ht="15.75" customHeight="1" s="45">
      <c r="B606" s="11" t="n"/>
    </row>
    <row r="607" ht="15.75" customHeight="1" s="45">
      <c r="B607" s="11" t="n"/>
    </row>
    <row r="608" ht="15.75" customHeight="1" s="45">
      <c r="B608" s="11" t="n"/>
    </row>
    <row r="609" ht="15.75" customHeight="1" s="45">
      <c r="B609" s="11" t="n"/>
    </row>
    <row r="610" ht="15.75" customHeight="1" s="45">
      <c r="B610" s="11" t="n"/>
    </row>
    <row r="611" ht="15.75" customHeight="1" s="45">
      <c r="B611" s="11" t="n"/>
    </row>
    <row r="612" ht="15.75" customHeight="1" s="45">
      <c r="B612" s="11" t="n"/>
    </row>
    <row r="613" ht="15.75" customHeight="1" s="45">
      <c r="B613" s="11" t="n"/>
    </row>
    <row r="614" ht="15.75" customHeight="1" s="45">
      <c r="B614" s="11" t="n"/>
    </row>
    <row r="615" ht="15.75" customHeight="1" s="45">
      <c r="B615" s="11" t="n"/>
    </row>
    <row r="616" ht="15.75" customHeight="1" s="45">
      <c r="B616" s="11" t="n"/>
    </row>
    <row r="617" ht="15.75" customHeight="1" s="45">
      <c r="B617" s="11" t="n"/>
    </row>
    <row r="618" ht="15.75" customHeight="1" s="45">
      <c r="B618" s="11" t="n"/>
    </row>
    <row r="619" ht="15.75" customHeight="1" s="45">
      <c r="B619" s="11" t="n"/>
    </row>
    <row r="620" ht="15.75" customHeight="1" s="45">
      <c r="B620" s="11" t="n"/>
    </row>
    <row r="621" ht="15.75" customHeight="1" s="45">
      <c r="B621" s="11" t="n"/>
    </row>
    <row r="622" ht="15.75" customHeight="1" s="45">
      <c r="B622" s="11" t="n"/>
    </row>
    <row r="623" ht="15.75" customHeight="1" s="45">
      <c r="B623" s="11" t="n"/>
    </row>
    <row r="624" ht="15.75" customHeight="1" s="45">
      <c r="B624" s="11" t="n"/>
    </row>
    <row r="625" ht="15.75" customHeight="1" s="45">
      <c r="B625" s="11" t="n"/>
    </row>
    <row r="626" ht="15.75" customHeight="1" s="45">
      <c r="B626" s="11" t="n"/>
    </row>
    <row r="627" ht="15.75" customHeight="1" s="45">
      <c r="B627" s="11" t="n"/>
    </row>
    <row r="628" ht="15.75" customHeight="1" s="45">
      <c r="B628" s="11" t="n"/>
    </row>
    <row r="629" ht="15.75" customHeight="1" s="45">
      <c r="B629" s="11" t="n"/>
    </row>
    <row r="630" ht="15.75" customHeight="1" s="45">
      <c r="B630" s="11" t="n"/>
    </row>
    <row r="631" ht="15.75" customHeight="1" s="45">
      <c r="B631" s="11" t="n"/>
    </row>
    <row r="632" ht="15.75" customHeight="1" s="45">
      <c r="B632" s="11" t="n"/>
    </row>
    <row r="633" ht="15.75" customHeight="1" s="45">
      <c r="B633" s="11" t="n"/>
    </row>
    <row r="634" ht="15.75" customHeight="1" s="45">
      <c r="B634" s="11" t="n"/>
    </row>
    <row r="635" ht="15.75" customHeight="1" s="45">
      <c r="B635" s="11" t="n"/>
    </row>
    <row r="636" ht="15.75" customHeight="1" s="45">
      <c r="B636" s="11" t="n"/>
    </row>
    <row r="637" ht="15.75" customHeight="1" s="45">
      <c r="B637" s="11" t="n"/>
    </row>
    <row r="638" ht="15.75" customHeight="1" s="45">
      <c r="B638" s="11" t="n"/>
    </row>
    <row r="639" ht="15.75" customHeight="1" s="45">
      <c r="B639" s="11" t="n"/>
    </row>
    <row r="640" ht="15.75" customHeight="1" s="45">
      <c r="B640" s="11" t="n"/>
    </row>
    <row r="641" ht="15.75" customHeight="1" s="45">
      <c r="B641" s="11" t="n"/>
    </row>
    <row r="642" ht="15.75" customHeight="1" s="45">
      <c r="B642" s="11" t="n"/>
    </row>
    <row r="643" ht="15.75" customHeight="1" s="45">
      <c r="B643" s="11" t="n"/>
    </row>
    <row r="644" ht="15.75" customHeight="1" s="45">
      <c r="B644" s="11" t="n"/>
    </row>
    <row r="645" ht="15.75" customHeight="1" s="45">
      <c r="B645" s="11" t="n"/>
    </row>
    <row r="646" ht="15.75" customHeight="1" s="45">
      <c r="B646" s="11" t="n"/>
    </row>
    <row r="647" ht="15.75" customHeight="1" s="45">
      <c r="B647" s="11" t="n"/>
    </row>
    <row r="648" ht="15.75" customHeight="1" s="45">
      <c r="B648" s="11" t="n"/>
    </row>
    <row r="649" ht="15.75" customHeight="1" s="45">
      <c r="B649" s="11" t="n"/>
    </row>
    <row r="650" ht="15.75" customHeight="1" s="45">
      <c r="B650" s="11" t="n"/>
    </row>
    <row r="651" ht="15.75" customHeight="1" s="45">
      <c r="B651" s="11" t="n"/>
    </row>
    <row r="652" ht="15.75" customHeight="1" s="45">
      <c r="B652" s="11" t="n"/>
    </row>
    <row r="653" ht="15.75" customHeight="1" s="45">
      <c r="B653" s="11" t="n"/>
    </row>
    <row r="654" ht="15.75" customHeight="1" s="45">
      <c r="B654" s="11" t="n"/>
    </row>
    <row r="655" ht="15.75" customHeight="1" s="45">
      <c r="B655" s="11" t="n"/>
    </row>
    <row r="656" ht="15.75" customHeight="1" s="45">
      <c r="B656" s="11" t="n"/>
    </row>
    <row r="657" ht="15.75" customHeight="1" s="45">
      <c r="B657" s="11" t="n"/>
    </row>
    <row r="658" ht="15.75" customHeight="1" s="45">
      <c r="B658" s="11" t="n"/>
    </row>
    <row r="659" ht="15.75" customHeight="1" s="45">
      <c r="B659" s="11" t="n"/>
    </row>
    <row r="660" ht="15.75" customHeight="1" s="45">
      <c r="B660" s="11" t="n"/>
    </row>
    <row r="661" ht="15.75" customHeight="1" s="45">
      <c r="B661" s="11" t="n"/>
    </row>
    <row r="662" ht="15.75" customHeight="1" s="45">
      <c r="B662" s="11" t="n"/>
    </row>
    <row r="663" ht="15.75" customHeight="1" s="45">
      <c r="B663" s="11" t="n"/>
    </row>
    <row r="664" ht="15.75" customHeight="1" s="45">
      <c r="B664" s="11" t="n"/>
    </row>
    <row r="665" ht="15.75" customHeight="1" s="45">
      <c r="B665" s="11" t="n"/>
    </row>
    <row r="666" ht="15.75" customHeight="1" s="45">
      <c r="B666" s="11" t="n"/>
    </row>
    <row r="667" ht="15.75" customHeight="1" s="45">
      <c r="B667" s="11" t="n"/>
    </row>
    <row r="668" ht="15.75" customHeight="1" s="45">
      <c r="B668" s="11" t="n"/>
    </row>
    <row r="669" ht="15.75" customHeight="1" s="45">
      <c r="B669" s="11" t="n"/>
    </row>
    <row r="670" ht="15.75" customHeight="1" s="45">
      <c r="B670" s="11" t="n"/>
    </row>
    <row r="671" ht="15.75" customHeight="1" s="45">
      <c r="B671" s="11" t="n"/>
    </row>
    <row r="672" ht="15.75" customHeight="1" s="45">
      <c r="B672" s="11" t="n"/>
    </row>
    <row r="673" ht="15.75" customHeight="1" s="45">
      <c r="B673" s="11" t="n"/>
    </row>
    <row r="674" ht="15.75" customHeight="1" s="45">
      <c r="B674" s="11" t="n"/>
    </row>
    <row r="675" ht="15.75" customHeight="1" s="45">
      <c r="B675" s="11" t="n"/>
    </row>
    <row r="676" ht="15.75" customHeight="1" s="45">
      <c r="B676" s="11" t="n"/>
    </row>
    <row r="677" ht="15.75" customHeight="1" s="45">
      <c r="B677" s="11" t="n"/>
    </row>
    <row r="678" ht="15.75" customHeight="1" s="45">
      <c r="B678" s="11" t="n"/>
    </row>
    <row r="679" ht="15.75" customHeight="1" s="45">
      <c r="B679" s="11" t="n"/>
    </row>
    <row r="680" ht="15.75" customHeight="1" s="45">
      <c r="B680" s="11" t="n"/>
    </row>
    <row r="681" ht="15.75" customHeight="1" s="45">
      <c r="B681" s="11" t="n"/>
    </row>
    <row r="682" ht="15.75" customHeight="1" s="45">
      <c r="B682" s="11" t="n"/>
    </row>
    <row r="683" ht="15.75" customHeight="1" s="45">
      <c r="B683" s="11" t="n"/>
    </row>
    <row r="684" ht="15.75" customHeight="1" s="45">
      <c r="B684" s="11" t="n"/>
    </row>
    <row r="685" ht="15.75" customHeight="1" s="45">
      <c r="B685" s="11" t="n"/>
    </row>
    <row r="686" ht="15.75" customHeight="1" s="45">
      <c r="B686" s="11" t="n"/>
    </row>
    <row r="687" ht="15.75" customHeight="1" s="45">
      <c r="B687" s="11" t="n"/>
    </row>
    <row r="688" ht="15.75" customHeight="1" s="45">
      <c r="B688" s="11" t="n"/>
    </row>
    <row r="689" ht="15.75" customHeight="1" s="45">
      <c r="B689" s="11" t="n"/>
    </row>
    <row r="690" ht="15.75" customHeight="1" s="45">
      <c r="B690" s="11" t="n"/>
    </row>
    <row r="691" ht="15.75" customHeight="1" s="45">
      <c r="B691" s="11" t="n"/>
    </row>
    <row r="692" ht="15.75" customHeight="1" s="45">
      <c r="B692" s="11" t="n"/>
    </row>
    <row r="693" ht="15.75" customHeight="1" s="45">
      <c r="B693" s="11" t="n"/>
    </row>
    <row r="694" ht="15.75" customHeight="1" s="45">
      <c r="B694" s="11" t="n"/>
    </row>
    <row r="695" ht="15.75" customHeight="1" s="45">
      <c r="B695" s="11" t="n"/>
    </row>
    <row r="696" ht="15.75" customHeight="1" s="45">
      <c r="B696" s="11" t="n"/>
    </row>
    <row r="697" ht="15.75" customHeight="1" s="45">
      <c r="B697" s="11" t="n"/>
    </row>
    <row r="698" ht="15.75" customHeight="1" s="45">
      <c r="B698" s="11" t="n"/>
    </row>
    <row r="699" ht="15.75" customHeight="1" s="45">
      <c r="B699" s="11" t="n"/>
    </row>
    <row r="700" ht="15.75" customHeight="1" s="45">
      <c r="B700" s="11" t="n"/>
    </row>
    <row r="701" ht="15.75" customHeight="1" s="45">
      <c r="B701" s="11" t="n"/>
    </row>
    <row r="702" ht="15.75" customHeight="1" s="45">
      <c r="B702" s="11" t="n"/>
    </row>
    <row r="703" ht="15.75" customHeight="1" s="45">
      <c r="B703" s="11" t="n"/>
    </row>
    <row r="704" ht="15.75" customHeight="1" s="45">
      <c r="B704" s="11" t="n"/>
    </row>
    <row r="705" ht="15.75" customHeight="1" s="45">
      <c r="B705" s="11" t="n"/>
    </row>
    <row r="706" ht="15.75" customHeight="1" s="45">
      <c r="B706" s="11" t="n"/>
    </row>
    <row r="707" ht="15.75" customHeight="1" s="45">
      <c r="B707" s="11" t="n"/>
    </row>
    <row r="708" ht="15.75" customHeight="1" s="45">
      <c r="B708" s="11" t="n"/>
    </row>
    <row r="709" ht="15.75" customHeight="1" s="45">
      <c r="B709" s="11" t="n"/>
    </row>
    <row r="710" ht="15.75" customHeight="1" s="45">
      <c r="B710" s="11" t="n"/>
    </row>
    <row r="711" ht="15.75" customHeight="1" s="45">
      <c r="B711" s="11" t="n"/>
    </row>
    <row r="712" ht="15.75" customHeight="1" s="45">
      <c r="B712" s="11" t="n"/>
    </row>
    <row r="713" ht="15.75" customHeight="1" s="45">
      <c r="B713" s="11" t="n"/>
    </row>
    <row r="714" ht="15.75" customHeight="1" s="45">
      <c r="B714" s="11" t="n"/>
    </row>
    <row r="715" ht="15.75" customHeight="1" s="45">
      <c r="B715" s="11" t="n"/>
    </row>
    <row r="716" ht="15.75" customHeight="1" s="45">
      <c r="B716" s="11" t="n"/>
    </row>
    <row r="717" ht="15.75" customHeight="1" s="45">
      <c r="B717" s="11" t="n"/>
    </row>
    <row r="718" ht="15.75" customHeight="1" s="45">
      <c r="B718" s="11" t="n"/>
    </row>
    <row r="719" ht="15.75" customHeight="1" s="45">
      <c r="B719" s="11" t="n"/>
    </row>
    <row r="720" ht="15.75" customHeight="1" s="45">
      <c r="B720" s="11" t="n"/>
    </row>
    <row r="721" ht="15.75" customHeight="1" s="45">
      <c r="B721" s="11" t="n"/>
    </row>
    <row r="722" ht="15.75" customHeight="1" s="45">
      <c r="B722" s="11" t="n"/>
    </row>
    <row r="723" ht="15.75" customHeight="1" s="45">
      <c r="B723" s="11" t="n"/>
    </row>
    <row r="724" ht="15.75" customHeight="1" s="45">
      <c r="B724" s="11" t="n"/>
    </row>
    <row r="725" ht="15.75" customHeight="1" s="45">
      <c r="B725" s="11" t="n"/>
    </row>
    <row r="726" ht="15.75" customHeight="1" s="45">
      <c r="B726" s="11" t="n"/>
    </row>
    <row r="727" ht="15.75" customHeight="1" s="45">
      <c r="B727" s="11" t="n"/>
    </row>
    <row r="728" ht="15.75" customHeight="1" s="45">
      <c r="B728" s="11" t="n"/>
    </row>
    <row r="729" ht="15.75" customHeight="1" s="45">
      <c r="B729" s="11" t="n"/>
    </row>
    <row r="730" ht="15.75" customHeight="1" s="45">
      <c r="B730" s="11" t="n"/>
    </row>
    <row r="731" ht="15.75" customHeight="1" s="45">
      <c r="B731" s="11" t="n"/>
    </row>
    <row r="732" ht="15.75" customHeight="1" s="45">
      <c r="B732" s="11" t="n"/>
    </row>
    <row r="733" ht="15.75" customHeight="1" s="45">
      <c r="B733" s="11" t="n"/>
    </row>
    <row r="734" ht="15.75" customHeight="1" s="45">
      <c r="B734" s="11" t="n"/>
    </row>
    <row r="735" ht="15.75" customHeight="1" s="45">
      <c r="B735" s="11" t="n"/>
    </row>
    <row r="736" ht="15.75" customHeight="1" s="45">
      <c r="B736" s="11" t="n"/>
    </row>
    <row r="737" ht="15.75" customHeight="1" s="45">
      <c r="B737" s="11" t="n"/>
    </row>
    <row r="738" ht="15.75" customHeight="1" s="45">
      <c r="B738" s="11" t="n"/>
    </row>
    <row r="739" ht="15.75" customHeight="1" s="45">
      <c r="B739" s="11" t="n"/>
    </row>
    <row r="740" ht="15.75" customHeight="1" s="45">
      <c r="B740" s="11" t="n"/>
    </row>
    <row r="741" ht="15.75" customHeight="1" s="45">
      <c r="B741" s="11" t="n"/>
    </row>
    <row r="742" ht="15.75" customHeight="1" s="45">
      <c r="B742" s="11" t="n"/>
    </row>
    <row r="743" ht="15.75" customHeight="1" s="45">
      <c r="B743" s="11" t="n"/>
    </row>
    <row r="744" ht="15.75" customHeight="1" s="45">
      <c r="B744" s="11" t="n"/>
    </row>
    <row r="745" ht="15.75" customHeight="1" s="45">
      <c r="B745" s="11" t="n"/>
    </row>
    <row r="746" ht="15.75" customHeight="1" s="45">
      <c r="B746" s="11" t="n"/>
    </row>
    <row r="747" ht="15.75" customHeight="1" s="45">
      <c r="B747" s="11" t="n"/>
    </row>
    <row r="748" ht="15.75" customHeight="1" s="45">
      <c r="B748" s="11" t="n"/>
    </row>
    <row r="749" ht="15.75" customHeight="1" s="45">
      <c r="B749" s="11" t="n"/>
    </row>
    <row r="750" ht="15.75" customHeight="1" s="45">
      <c r="B750" s="11" t="n"/>
    </row>
    <row r="751" ht="15.75" customHeight="1" s="45">
      <c r="B751" s="11" t="n"/>
    </row>
    <row r="752" ht="15.75" customHeight="1" s="45">
      <c r="B752" s="11" t="n"/>
    </row>
    <row r="753" ht="15.75" customHeight="1" s="45">
      <c r="B753" s="11" t="n"/>
    </row>
    <row r="754" ht="15.75" customHeight="1" s="45">
      <c r="B754" s="11" t="n"/>
    </row>
    <row r="755" ht="15.75" customHeight="1" s="45">
      <c r="B755" s="11" t="n"/>
    </row>
    <row r="756" ht="15.75" customHeight="1" s="45">
      <c r="B756" s="11" t="n"/>
    </row>
    <row r="757" ht="15.75" customHeight="1" s="45">
      <c r="B757" s="11" t="n"/>
    </row>
    <row r="758" ht="15.75" customHeight="1" s="45">
      <c r="B758" s="11" t="n"/>
    </row>
    <row r="759" ht="15.75" customHeight="1" s="45">
      <c r="B759" s="11" t="n"/>
    </row>
    <row r="760" ht="15.75" customHeight="1" s="45">
      <c r="B760" s="11" t="n"/>
    </row>
    <row r="761" ht="15.75" customHeight="1" s="45">
      <c r="B761" s="11" t="n"/>
    </row>
    <row r="762" ht="15.75" customHeight="1" s="45">
      <c r="B762" s="11" t="n"/>
    </row>
    <row r="763" ht="15.75" customHeight="1" s="45">
      <c r="B763" s="11" t="n"/>
    </row>
    <row r="764" ht="15.75" customHeight="1" s="45">
      <c r="B764" s="11" t="n"/>
    </row>
    <row r="765" ht="15.75" customHeight="1" s="45">
      <c r="B765" s="11" t="n"/>
    </row>
    <row r="766" ht="15.75" customHeight="1" s="45">
      <c r="B766" s="11" t="n"/>
    </row>
    <row r="767" ht="15.75" customHeight="1" s="45">
      <c r="B767" s="11" t="n"/>
    </row>
    <row r="768" ht="15.75" customHeight="1" s="45">
      <c r="B768" s="11" t="n"/>
    </row>
    <row r="769" ht="15.75" customHeight="1" s="45">
      <c r="B769" s="11" t="n"/>
    </row>
    <row r="770" ht="15.75" customHeight="1" s="45">
      <c r="B770" s="11" t="n"/>
    </row>
    <row r="771" ht="15.75" customHeight="1" s="45">
      <c r="B771" s="11" t="n"/>
    </row>
    <row r="772" ht="15.75" customHeight="1" s="45">
      <c r="B772" s="11" t="n"/>
    </row>
    <row r="773" ht="15.75" customHeight="1" s="45">
      <c r="B773" s="11" t="n"/>
    </row>
    <row r="774" ht="15.75" customHeight="1" s="45">
      <c r="B774" s="11" t="n"/>
    </row>
    <row r="775" ht="15.75" customHeight="1" s="45">
      <c r="B775" s="11" t="n"/>
    </row>
    <row r="776" ht="15.75" customHeight="1" s="45">
      <c r="B776" s="11" t="n"/>
    </row>
    <row r="777" ht="15.75" customHeight="1" s="45">
      <c r="B777" s="11" t="n"/>
    </row>
    <row r="778" ht="15.75" customHeight="1" s="45">
      <c r="B778" s="11" t="n"/>
    </row>
    <row r="779" ht="15.75" customHeight="1" s="45">
      <c r="B779" s="11" t="n"/>
    </row>
    <row r="780" ht="15.75" customHeight="1" s="45">
      <c r="B780" s="11" t="n"/>
    </row>
    <row r="781" ht="15.75" customHeight="1" s="45">
      <c r="B781" s="11" t="n"/>
    </row>
    <row r="782" ht="15.75" customHeight="1" s="45">
      <c r="B782" s="11" t="n"/>
    </row>
    <row r="783" ht="15.75" customHeight="1" s="45">
      <c r="B783" s="11" t="n"/>
    </row>
    <row r="784" ht="15.75" customHeight="1" s="45">
      <c r="B784" s="11" t="n"/>
    </row>
    <row r="785" ht="15.75" customHeight="1" s="45">
      <c r="B785" s="11" t="n"/>
    </row>
    <row r="786" ht="15.75" customHeight="1" s="45">
      <c r="B786" s="11" t="n"/>
    </row>
    <row r="787" ht="15.75" customHeight="1" s="45">
      <c r="B787" s="11" t="n"/>
    </row>
    <row r="788" ht="15.75" customHeight="1" s="45">
      <c r="B788" s="11" t="n"/>
    </row>
    <row r="789" ht="15.75" customHeight="1" s="45">
      <c r="B789" s="11" t="n"/>
    </row>
    <row r="790" ht="15.75" customHeight="1" s="45">
      <c r="B790" s="11" t="n"/>
    </row>
    <row r="791" ht="15.75" customHeight="1" s="45">
      <c r="B791" s="11" t="n"/>
    </row>
    <row r="792" ht="15.75" customHeight="1" s="45">
      <c r="B792" s="11" t="n"/>
    </row>
    <row r="793" ht="15.75" customHeight="1" s="45">
      <c r="B793" s="11" t="n"/>
    </row>
    <row r="794" ht="15.75" customHeight="1" s="45">
      <c r="B794" s="11" t="n"/>
    </row>
    <row r="795" ht="15.75" customHeight="1" s="45">
      <c r="B795" s="11" t="n"/>
    </row>
    <row r="796" ht="15.75" customHeight="1" s="45">
      <c r="B796" s="11" t="n"/>
    </row>
    <row r="797" ht="15.75" customHeight="1" s="45">
      <c r="B797" s="11" t="n"/>
    </row>
    <row r="798" ht="15.75" customHeight="1" s="45">
      <c r="B798" s="11" t="n"/>
    </row>
    <row r="799" ht="15.75" customHeight="1" s="45">
      <c r="B799" s="11" t="n"/>
    </row>
    <row r="800" ht="15.75" customHeight="1" s="45">
      <c r="B800" s="11" t="n"/>
    </row>
    <row r="801" ht="15.75" customHeight="1" s="45">
      <c r="B801" s="11" t="n"/>
    </row>
    <row r="802" ht="15.75" customHeight="1" s="45">
      <c r="B802" s="11" t="n"/>
    </row>
    <row r="803" ht="15.75" customHeight="1" s="45">
      <c r="B803" s="11" t="n"/>
    </row>
    <row r="804" ht="15.75" customHeight="1" s="45">
      <c r="B804" s="11" t="n"/>
    </row>
    <row r="805" ht="15.75" customHeight="1" s="45">
      <c r="B805" s="11" t="n"/>
    </row>
    <row r="806" ht="15.75" customHeight="1" s="45">
      <c r="B806" s="11" t="n"/>
    </row>
    <row r="807" ht="15.75" customHeight="1" s="45">
      <c r="B807" s="11" t="n"/>
    </row>
    <row r="808" ht="15.75" customHeight="1" s="45">
      <c r="B808" s="11" t="n"/>
    </row>
    <row r="809" ht="15.75" customHeight="1" s="45">
      <c r="B809" s="11" t="n"/>
    </row>
    <row r="810" ht="15.75" customHeight="1" s="45">
      <c r="B810" s="11" t="n"/>
    </row>
    <row r="811" ht="15.75" customHeight="1" s="45">
      <c r="B811" s="11" t="n"/>
    </row>
    <row r="812" ht="15.75" customHeight="1" s="45">
      <c r="B812" s="11" t="n"/>
    </row>
    <row r="813" ht="15.75" customHeight="1" s="45">
      <c r="B813" s="11" t="n"/>
    </row>
    <row r="814" ht="15.75" customHeight="1" s="45">
      <c r="B814" s="11" t="n"/>
    </row>
    <row r="815" ht="15.75" customHeight="1" s="45">
      <c r="B815" s="11" t="n"/>
    </row>
    <row r="816" ht="15.75" customHeight="1" s="45">
      <c r="B816" s="11" t="n"/>
    </row>
    <row r="817" ht="15.75" customHeight="1" s="45">
      <c r="B817" s="11" t="n"/>
    </row>
    <row r="818" ht="15.75" customHeight="1" s="45">
      <c r="B818" s="11" t="n"/>
    </row>
    <row r="819" ht="15.75" customHeight="1" s="45">
      <c r="B819" s="11" t="n"/>
    </row>
    <row r="820" ht="15.75" customHeight="1" s="45">
      <c r="B820" s="11" t="n"/>
    </row>
    <row r="821" ht="15.75" customHeight="1" s="45">
      <c r="B821" s="11" t="n"/>
    </row>
    <row r="822" ht="15.75" customHeight="1" s="45">
      <c r="B822" s="11" t="n"/>
    </row>
    <row r="823" ht="15.75" customHeight="1" s="45">
      <c r="B823" s="11" t="n"/>
    </row>
    <row r="824" ht="15.75" customHeight="1" s="45">
      <c r="B824" s="11" t="n"/>
    </row>
    <row r="825" ht="15.75" customHeight="1" s="45">
      <c r="B825" s="11" t="n"/>
    </row>
    <row r="826" ht="15.75" customHeight="1" s="45">
      <c r="B826" s="11" t="n"/>
    </row>
    <row r="827" ht="15.75" customHeight="1" s="45">
      <c r="B827" s="11" t="n"/>
    </row>
    <row r="828" ht="15.75" customHeight="1" s="45">
      <c r="B828" s="11" t="n"/>
    </row>
    <row r="829" ht="15.75" customHeight="1" s="45">
      <c r="B829" s="11" t="n"/>
    </row>
    <row r="830" ht="15.75" customHeight="1" s="45">
      <c r="B830" s="11" t="n"/>
    </row>
    <row r="831" ht="15.75" customHeight="1" s="45">
      <c r="B831" s="11" t="n"/>
    </row>
    <row r="832" ht="15.75" customHeight="1" s="45">
      <c r="B832" s="11" t="n"/>
    </row>
    <row r="833" ht="15.75" customHeight="1" s="45">
      <c r="B833" s="11" t="n"/>
    </row>
    <row r="834" ht="15.75" customHeight="1" s="45">
      <c r="B834" s="11" t="n"/>
    </row>
    <row r="835" ht="15.75" customHeight="1" s="45">
      <c r="B835" s="11" t="n"/>
    </row>
    <row r="836" ht="15.75" customHeight="1" s="45">
      <c r="B836" s="11" t="n"/>
    </row>
    <row r="837" ht="15.75" customHeight="1" s="45">
      <c r="B837" s="11" t="n"/>
    </row>
    <row r="838" ht="15.75" customHeight="1" s="45">
      <c r="B838" s="11" t="n"/>
    </row>
    <row r="839" ht="15.75" customHeight="1" s="45">
      <c r="B839" s="11" t="n"/>
    </row>
    <row r="840" ht="15.75" customHeight="1" s="45">
      <c r="B840" s="11" t="n"/>
    </row>
    <row r="841" ht="15.75" customHeight="1" s="45">
      <c r="B841" s="11" t="n"/>
    </row>
    <row r="842" ht="15.75" customHeight="1" s="45">
      <c r="B842" s="11" t="n"/>
    </row>
    <row r="843" ht="15.75" customHeight="1" s="45">
      <c r="B843" s="11" t="n"/>
    </row>
    <row r="844" ht="15.75" customHeight="1" s="45">
      <c r="B844" s="11" t="n"/>
    </row>
    <row r="845" ht="15.75" customHeight="1" s="45">
      <c r="B845" s="11" t="n"/>
    </row>
    <row r="846" ht="15.75" customHeight="1" s="45">
      <c r="B846" s="11" t="n"/>
    </row>
    <row r="847" ht="15.75" customHeight="1" s="45">
      <c r="B847" s="11" t="n"/>
    </row>
    <row r="848" ht="15.75" customHeight="1" s="45">
      <c r="B848" s="11" t="n"/>
    </row>
    <row r="849" ht="15.75" customHeight="1" s="45">
      <c r="B849" s="11" t="n"/>
    </row>
    <row r="850" ht="15.75" customHeight="1" s="45">
      <c r="B850" s="11" t="n"/>
    </row>
    <row r="851" ht="15.75" customHeight="1" s="45">
      <c r="B851" s="11" t="n"/>
    </row>
    <row r="852" ht="15.75" customHeight="1" s="45">
      <c r="B852" s="11" t="n"/>
    </row>
    <row r="853" ht="15.75" customHeight="1" s="45">
      <c r="B853" s="11" t="n"/>
    </row>
    <row r="854" ht="15.75" customHeight="1" s="45">
      <c r="B854" s="11" t="n"/>
    </row>
    <row r="855" ht="15.75" customHeight="1" s="45">
      <c r="B855" s="11" t="n"/>
    </row>
    <row r="856" ht="15.75" customHeight="1" s="45">
      <c r="B856" s="11" t="n"/>
    </row>
    <row r="857" ht="15.75" customHeight="1" s="45">
      <c r="B857" s="11" t="n"/>
    </row>
    <row r="858" ht="15.75" customHeight="1" s="45">
      <c r="B858" s="11" t="n"/>
    </row>
    <row r="859" ht="15.75" customHeight="1" s="45">
      <c r="B859" s="11" t="n"/>
    </row>
    <row r="860" ht="15.75" customHeight="1" s="45">
      <c r="B860" s="11" t="n"/>
    </row>
    <row r="861" ht="15.75" customHeight="1" s="45">
      <c r="B861" s="11" t="n"/>
    </row>
    <row r="862" ht="15.75" customHeight="1" s="45">
      <c r="B862" s="11" t="n"/>
    </row>
    <row r="863" ht="15.75" customHeight="1" s="45">
      <c r="B863" s="11" t="n"/>
    </row>
    <row r="864" ht="15.75" customHeight="1" s="45">
      <c r="B864" s="11" t="n"/>
    </row>
    <row r="865" ht="15.75" customHeight="1" s="45">
      <c r="B865" s="11" t="n"/>
    </row>
    <row r="866" ht="15.75" customHeight="1" s="45">
      <c r="B866" s="11" t="n"/>
    </row>
    <row r="867" ht="15.75" customHeight="1" s="45">
      <c r="B867" s="11" t="n"/>
    </row>
    <row r="868" ht="15.75" customHeight="1" s="45">
      <c r="B868" s="11" t="n"/>
    </row>
    <row r="869" ht="15.75" customHeight="1" s="45">
      <c r="B869" s="11" t="n"/>
    </row>
    <row r="870" ht="15.75" customHeight="1" s="45">
      <c r="B870" s="11" t="n"/>
    </row>
    <row r="871" ht="15.75" customHeight="1" s="45">
      <c r="B871" s="11" t="n"/>
    </row>
    <row r="872" ht="15.75" customHeight="1" s="45">
      <c r="B872" s="11" t="n"/>
    </row>
    <row r="873" ht="15.75" customHeight="1" s="45">
      <c r="B873" s="11" t="n"/>
    </row>
    <row r="874" ht="15.75" customHeight="1" s="45">
      <c r="B874" s="11" t="n"/>
    </row>
    <row r="875" ht="15.75" customHeight="1" s="45">
      <c r="B875" s="11" t="n"/>
    </row>
    <row r="876" ht="15.75" customHeight="1" s="45">
      <c r="B876" s="11" t="n"/>
    </row>
    <row r="877" ht="15.75" customHeight="1" s="45">
      <c r="B877" s="11" t="n"/>
    </row>
    <row r="878" ht="15.75" customHeight="1" s="45">
      <c r="B878" s="11" t="n"/>
    </row>
    <row r="879" ht="15.75" customHeight="1" s="45">
      <c r="B879" s="11" t="n"/>
    </row>
    <row r="880" ht="15.75" customHeight="1" s="45">
      <c r="B880" s="11" t="n"/>
    </row>
    <row r="881" ht="15.75" customHeight="1" s="45">
      <c r="B881" s="11" t="n"/>
    </row>
    <row r="882" ht="15.75" customHeight="1" s="45">
      <c r="B882" s="11" t="n"/>
    </row>
    <row r="883" ht="15.75" customHeight="1" s="45">
      <c r="B883" s="11" t="n"/>
    </row>
    <row r="884" ht="15.75" customHeight="1" s="45">
      <c r="B884" s="11" t="n"/>
    </row>
    <row r="885" ht="15.75" customHeight="1" s="45">
      <c r="B885" s="11" t="n"/>
    </row>
    <row r="886" ht="15.75" customHeight="1" s="45">
      <c r="B886" s="11" t="n"/>
    </row>
    <row r="887" ht="15.75" customHeight="1" s="45">
      <c r="B887" s="11" t="n"/>
    </row>
    <row r="888" ht="15.75" customHeight="1" s="45">
      <c r="B888" s="11" t="n"/>
    </row>
    <row r="889" ht="15.75" customHeight="1" s="45">
      <c r="B889" s="11" t="n"/>
    </row>
    <row r="890" ht="15.75" customHeight="1" s="45">
      <c r="B890" s="11" t="n"/>
    </row>
    <row r="891" ht="15.75" customHeight="1" s="45">
      <c r="B891" s="11" t="n"/>
    </row>
    <row r="892" ht="15.75" customHeight="1" s="45">
      <c r="B892" s="11" t="n"/>
    </row>
    <row r="893" ht="15.75" customHeight="1" s="45">
      <c r="B893" s="11" t="n"/>
    </row>
    <row r="894" ht="15.75" customHeight="1" s="45">
      <c r="B894" s="11" t="n"/>
    </row>
    <row r="895" ht="15.75" customHeight="1" s="45">
      <c r="B895" s="11" t="n"/>
    </row>
    <row r="896" ht="15.75" customHeight="1" s="45">
      <c r="B896" s="11" t="n"/>
    </row>
    <row r="897" ht="15.75" customHeight="1" s="45">
      <c r="B897" s="11" t="n"/>
    </row>
    <row r="898" ht="15.75" customHeight="1" s="45">
      <c r="B898" s="11" t="n"/>
    </row>
    <row r="899" ht="15.75" customHeight="1" s="45">
      <c r="B899" s="11" t="n"/>
    </row>
    <row r="900" ht="15.75" customHeight="1" s="45">
      <c r="B900" s="11" t="n"/>
    </row>
    <row r="901" ht="15.75" customHeight="1" s="45">
      <c r="B901" s="11" t="n"/>
    </row>
    <row r="902" ht="15.75" customHeight="1" s="45">
      <c r="B902" s="11" t="n"/>
    </row>
    <row r="903" ht="15.75" customHeight="1" s="45">
      <c r="B903" s="11" t="n"/>
    </row>
    <row r="904" ht="15.75" customHeight="1" s="45">
      <c r="B904" s="11" t="n"/>
    </row>
    <row r="905" ht="15.75" customHeight="1" s="45">
      <c r="B905" s="11" t="n"/>
    </row>
    <row r="906" ht="15.75" customHeight="1" s="45">
      <c r="B906" s="11" t="n"/>
    </row>
    <row r="907" ht="15.75" customHeight="1" s="45">
      <c r="B907" s="11" t="n"/>
    </row>
    <row r="908" ht="15.75" customHeight="1" s="45">
      <c r="B908" s="11" t="n"/>
    </row>
    <row r="909" ht="15.75" customHeight="1" s="45">
      <c r="B909" s="11" t="n"/>
    </row>
    <row r="910" ht="15.75" customHeight="1" s="45">
      <c r="B910" s="11" t="n"/>
    </row>
    <row r="911" ht="15.75" customHeight="1" s="45">
      <c r="B911" s="11" t="n"/>
    </row>
    <row r="912" ht="15.75" customHeight="1" s="45">
      <c r="B912" s="11" t="n"/>
    </row>
    <row r="913" ht="15.75" customHeight="1" s="45">
      <c r="B913" s="11" t="n"/>
    </row>
    <row r="914" ht="15.75" customHeight="1" s="45">
      <c r="B914" s="11" t="n"/>
    </row>
    <row r="915" ht="15.75" customHeight="1" s="45">
      <c r="B915" s="11" t="n"/>
    </row>
    <row r="916" ht="15.75" customHeight="1" s="45">
      <c r="B916" s="11" t="n"/>
    </row>
    <row r="917" ht="15.75" customHeight="1" s="45">
      <c r="B917" s="11" t="n"/>
    </row>
    <row r="918" ht="15.75" customHeight="1" s="45">
      <c r="B918" s="11" t="n"/>
    </row>
    <row r="919" ht="15.75" customHeight="1" s="45">
      <c r="B919" s="11" t="n"/>
    </row>
    <row r="920" ht="15.75" customHeight="1" s="45">
      <c r="B920" s="11" t="n"/>
    </row>
    <row r="921" ht="15.75" customHeight="1" s="45">
      <c r="B921" s="11" t="n"/>
    </row>
    <row r="922" ht="15.75" customHeight="1" s="45">
      <c r="B922" s="11" t="n"/>
    </row>
    <row r="923" ht="15.75" customHeight="1" s="45">
      <c r="B923" s="11" t="n"/>
    </row>
    <row r="924" ht="15.75" customHeight="1" s="45">
      <c r="B924" s="11" t="n"/>
    </row>
    <row r="925" ht="15.75" customHeight="1" s="45">
      <c r="B925" s="11" t="n"/>
    </row>
    <row r="926" ht="15.75" customHeight="1" s="45">
      <c r="B926" s="11" t="n"/>
    </row>
    <row r="927" ht="15.75" customHeight="1" s="45">
      <c r="B927" s="11" t="n"/>
    </row>
    <row r="928" ht="15.75" customHeight="1" s="45">
      <c r="B928" s="11" t="n"/>
    </row>
    <row r="929" ht="15.75" customHeight="1" s="45">
      <c r="B929" s="11" t="n"/>
    </row>
    <row r="930" ht="15.75" customHeight="1" s="45">
      <c r="B930" s="11" t="n"/>
    </row>
    <row r="931" ht="15.75" customHeight="1" s="45">
      <c r="B931" s="11" t="n"/>
    </row>
    <row r="932" ht="15.75" customHeight="1" s="45">
      <c r="B932" s="11" t="n"/>
    </row>
    <row r="933" ht="15.75" customHeight="1" s="45">
      <c r="B933" s="11" t="n"/>
    </row>
    <row r="934" ht="15.75" customHeight="1" s="45">
      <c r="B934" s="11" t="n"/>
    </row>
    <row r="935" ht="15.75" customHeight="1" s="45">
      <c r="B935" s="11" t="n"/>
    </row>
    <row r="936" ht="15.75" customHeight="1" s="45">
      <c r="B936" s="11" t="n"/>
    </row>
    <row r="937" ht="15.75" customHeight="1" s="45">
      <c r="B937" s="11" t="n"/>
    </row>
    <row r="938" ht="15.75" customHeight="1" s="45">
      <c r="B938" s="11" t="n"/>
    </row>
    <row r="939" ht="15.75" customHeight="1" s="45">
      <c r="B939" s="11" t="n"/>
    </row>
    <row r="940" ht="15.75" customHeight="1" s="45">
      <c r="B940" s="11" t="n"/>
    </row>
    <row r="941" ht="15.75" customHeight="1" s="45">
      <c r="B941" s="11" t="n"/>
    </row>
    <row r="942" ht="15.75" customHeight="1" s="45">
      <c r="B942" s="11" t="n"/>
    </row>
    <row r="943" ht="15.75" customHeight="1" s="45">
      <c r="B943" s="11" t="n"/>
    </row>
    <row r="944" ht="15.75" customHeight="1" s="45">
      <c r="B944" s="11" t="n"/>
    </row>
    <row r="945" ht="15.75" customHeight="1" s="45">
      <c r="B945" s="11" t="n"/>
    </row>
    <row r="946" ht="15.75" customHeight="1" s="45">
      <c r="B946" s="11" t="n"/>
    </row>
    <row r="947" ht="15.75" customHeight="1" s="45">
      <c r="B947" s="11" t="n"/>
    </row>
    <row r="948" ht="15.75" customHeight="1" s="45">
      <c r="B948" s="11" t="n"/>
    </row>
    <row r="949" ht="15.75" customHeight="1" s="45">
      <c r="B949" s="11" t="n"/>
    </row>
    <row r="950" ht="15.75" customHeight="1" s="45">
      <c r="B950" s="11" t="n"/>
    </row>
    <row r="951" ht="15.75" customHeight="1" s="45">
      <c r="B951" s="11" t="n"/>
    </row>
    <row r="952" ht="15.75" customHeight="1" s="45">
      <c r="B952" s="11" t="n"/>
    </row>
    <row r="953" ht="15.75" customHeight="1" s="45">
      <c r="B953" s="11" t="n"/>
    </row>
    <row r="954" ht="15.75" customHeight="1" s="45">
      <c r="B954" s="11" t="n"/>
    </row>
    <row r="955" ht="15.75" customHeight="1" s="45">
      <c r="B955" s="11" t="n"/>
    </row>
    <row r="956" ht="15.75" customHeight="1" s="45">
      <c r="B956" s="11" t="n"/>
    </row>
    <row r="957" ht="15.75" customHeight="1" s="45">
      <c r="B957" s="11" t="n"/>
    </row>
    <row r="958" ht="15.75" customHeight="1" s="45">
      <c r="B958" s="11" t="n"/>
    </row>
    <row r="959" ht="15.75" customHeight="1" s="45">
      <c r="B959" s="11" t="n"/>
    </row>
    <row r="960" ht="15.75" customHeight="1" s="45">
      <c r="B960" s="11" t="n"/>
    </row>
    <row r="961" ht="15.75" customHeight="1" s="45">
      <c r="B961" s="11" t="n"/>
    </row>
    <row r="962" ht="15.75" customHeight="1" s="45">
      <c r="B962" s="11" t="n"/>
    </row>
    <row r="963" ht="15.75" customHeight="1" s="45">
      <c r="B963" s="11" t="n"/>
    </row>
    <row r="964" ht="15.75" customHeight="1" s="45">
      <c r="B964" s="11" t="n"/>
    </row>
    <row r="965" ht="15.75" customHeight="1" s="45">
      <c r="B965" s="11" t="n"/>
    </row>
    <row r="966" ht="15.75" customHeight="1" s="45">
      <c r="B966" s="11" t="n"/>
    </row>
    <row r="967" ht="15.75" customHeight="1" s="45">
      <c r="B967" s="11" t="n"/>
    </row>
    <row r="968" ht="15.75" customHeight="1" s="45">
      <c r="B968" s="11" t="n"/>
    </row>
    <row r="969" ht="15.75" customHeight="1" s="45">
      <c r="B969" s="11" t="n"/>
    </row>
    <row r="970" ht="15.75" customHeight="1" s="45">
      <c r="B970" s="11" t="n"/>
    </row>
    <row r="971" ht="15.75" customHeight="1" s="45">
      <c r="B971" s="11" t="n"/>
    </row>
    <row r="972" ht="15.75" customHeight="1" s="45">
      <c r="B972" s="11" t="n"/>
    </row>
    <row r="973" ht="15.75" customHeight="1" s="45">
      <c r="B973" s="11" t="n"/>
    </row>
    <row r="974" ht="15.75" customHeight="1" s="45">
      <c r="B974" s="11" t="n"/>
    </row>
    <row r="975" ht="15.75" customHeight="1" s="45">
      <c r="B975" s="11" t="n"/>
    </row>
    <row r="976" ht="15.75" customHeight="1" s="45">
      <c r="B976" s="11" t="n"/>
    </row>
    <row r="977" ht="15.75" customHeight="1" s="45">
      <c r="B977" s="11" t="n"/>
    </row>
    <row r="978" ht="15.75" customHeight="1" s="45">
      <c r="B978" s="11" t="n"/>
    </row>
    <row r="979" ht="15.75" customHeight="1" s="45">
      <c r="B979" s="11" t="n"/>
    </row>
    <row r="980" ht="15.75" customHeight="1" s="45">
      <c r="B980" s="11" t="n"/>
    </row>
    <row r="981" ht="15.75" customHeight="1" s="45">
      <c r="B981" s="11" t="n"/>
    </row>
    <row r="982" ht="15.75" customHeight="1" s="45">
      <c r="B982" s="11" t="n"/>
    </row>
    <row r="983" ht="15.75" customHeight="1" s="45">
      <c r="B983" s="11" t="n"/>
    </row>
    <row r="984" ht="15.75" customHeight="1" s="45">
      <c r="B984" s="11" t="n"/>
    </row>
    <row r="985" ht="15.75" customHeight="1" s="45">
      <c r="B985" s="11" t="n"/>
    </row>
    <row r="986" ht="15.75" customHeight="1" s="45">
      <c r="B986" s="11" t="n"/>
    </row>
    <row r="987" ht="15.75" customHeight="1" s="45">
      <c r="B987" s="11" t="n"/>
    </row>
    <row r="988" ht="15.75" customHeight="1" s="45">
      <c r="B988" s="11" t="n"/>
    </row>
    <row r="989" ht="15.75" customHeight="1" s="45">
      <c r="B989" s="11" t="n"/>
    </row>
    <row r="990" ht="15.75" customHeight="1" s="45">
      <c r="B990" s="11" t="n"/>
    </row>
    <row r="991" ht="15.75" customHeight="1" s="45">
      <c r="B991" s="11" t="n"/>
    </row>
    <row r="992" ht="15.75" customHeight="1" s="45">
      <c r="B992" s="11" t="n"/>
    </row>
    <row r="993" ht="15.75" customHeight="1" s="45">
      <c r="B993" s="11" t="n"/>
    </row>
    <row r="994" ht="15.75" customHeight="1" s="45">
      <c r="B994" s="11" t="n"/>
    </row>
    <row r="995" ht="15.75" customHeight="1" s="45">
      <c r="B995" s="11" t="n"/>
    </row>
    <row r="996" ht="15.75" customHeight="1" s="45">
      <c r="B996" s="11" t="n"/>
    </row>
    <row r="997" ht="15.75" customHeight="1" s="45">
      <c r="B997" s="11" t="n"/>
    </row>
    <row r="998" ht="15.75" customHeight="1" s="45">
      <c r="B998" s="11" t="n"/>
    </row>
    <row r="999" ht="15.75" customHeight="1" s="45">
      <c r="B999" s="11" t="n"/>
    </row>
    <row r="1000" ht="15.75" customHeight="1" s="45">
      <c r="B1000" s="11" t="n"/>
    </row>
  </sheetData>
  <mergeCells count="2">
    <mergeCell ref="A1:C1"/>
    <mergeCell ref="A7:C7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59"/>
  <sheetViews>
    <sheetView showGridLines="0" workbookViewId="0">
      <selection activeCell="A1" sqref="A1"/>
    </sheetView>
  </sheetViews>
  <sheetFormatPr baseColWidth="8" defaultColWidth="14.43" defaultRowHeight="15" customHeight="1"/>
  <cols>
    <col width="16" customWidth="1" style="45" min="1" max="1"/>
    <col width="14" customWidth="1" style="45" min="2" max="2"/>
    <col width="16" customWidth="1" style="45" min="3" max="3"/>
    <col width="12" customWidth="1" style="45" min="4" max="5"/>
    <col width="14" customWidth="1" style="45" min="6" max="6"/>
    <col width="8.710000000000001" customWidth="1" style="45" min="7" max="7"/>
    <col width="16" customWidth="1" style="45" min="8" max="8"/>
    <col width="20" customWidth="1" style="45" min="9" max="9"/>
    <col width="12" customWidth="1" style="45" min="10" max="10"/>
    <col width="10" customWidth="1" style="45" min="11" max="11"/>
    <col width="8.710000000000001" customWidth="1" style="45" min="12" max="26"/>
  </cols>
  <sheetData>
    <row r="1">
      <c r="A1" s="46" t="inlineStr">
        <is>
          <t>BEBEPRINTS Inventory Dashboard</t>
        </is>
      </c>
    </row>
    <row r="2">
      <c r="A2" s="49" t="inlineStr">
        <is>
          <t>Use this sheet for your quick daily check: stock on hand, sold today, low-stock items, and category totals.</t>
        </is>
      </c>
    </row>
    <row r="3">
      <c r="A3" s="17" t="n"/>
      <c r="B3" s="17" t="n"/>
      <c r="C3" s="17" t="n"/>
      <c r="D3" s="17" t="n"/>
      <c r="E3" s="18" t="n"/>
      <c r="F3" s="18" t="n"/>
      <c r="G3" s="18" t="n"/>
      <c r="H3" s="18" t="n"/>
      <c r="I3" s="18" t="n"/>
      <c r="J3" s="18" t="n"/>
      <c r="K3" s="18" t="n"/>
    </row>
    <row r="4">
      <c r="A4" s="38" t="inlineStr">
        <is>
          <t>Total SKUs</t>
        </is>
      </c>
      <c r="C4" s="38" t="inlineStr">
        <is>
          <t>Total Units Counted</t>
        </is>
      </c>
      <c r="E4" s="50" t="inlineStr">
        <is>
          <t>Total Sold Today</t>
        </is>
      </c>
      <c r="G4" s="50" t="inlineStr">
        <is>
          <t>Low Stock SKUs</t>
        </is>
      </c>
      <c r="I4" s="44" t="n"/>
      <c r="J4" s="44" t="n"/>
      <c r="K4" s="44" t="n"/>
    </row>
    <row r="5">
      <c r="A5" s="51">
        <f>COUNTA(ALL_SKUS!B:B)-1</f>
        <v/>
      </c>
      <c r="C5" s="51">
        <f>SUM(ALL_SKUS!F:F)</f>
        <v/>
      </c>
      <c r="E5" s="52">
        <f>SUM(ALL_SKUS!I:I)</f>
        <v/>
      </c>
      <c r="G5" s="52">
        <f>COUNTIF(ALL_SKUS!J:J,"LOW")</f>
        <v/>
      </c>
      <c r="I5" s="44" t="n"/>
      <c r="J5" s="44" t="n"/>
      <c r="K5" s="44" t="n"/>
    </row>
    <row r="6">
      <c r="A6" s="25" t="n"/>
      <c r="B6" s="25" t="n"/>
      <c r="C6" s="25" t="n"/>
      <c r="D6" s="25" t="n"/>
      <c r="E6" s="44" t="n"/>
      <c r="F6" s="44" t="n"/>
      <c r="G6" s="44" t="n"/>
      <c r="H6" s="44" t="n"/>
      <c r="I6" s="44" t="n"/>
      <c r="J6" s="44" t="n"/>
      <c r="K6" s="44" t="n"/>
    </row>
    <row r="7">
      <c r="A7" s="25" t="n"/>
      <c r="B7" s="25" t="n"/>
      <c r="C7" s="25" t="n"/>
      <c r="D7" s="25" t="n"/>
      <c r="E7" s="44" t="n"/>
      <c r="F7" s="44" t="n"/>
      <c r="G7" s="44" t="n"/>
      <c r="H7" s="44" t="n"/>
      <c r="I7" s="44" t="n"/>
      <c r="J7" s="44" t="n"/>
      <c r="K7" s="44" t="n"/>
    </row>
    <row r="8">
      <c r="A8" s="38" t="inlineStr">
        <is>
          <t>Category Summary</t>
        </is>
      </c>
      <c r="G8" s="44" t="n"/>
      <c r="H8" s="50" t="inlineStr">
        <is>
          <t>Quick List: Low Stock SKUs</t>
        </is>
      </c>
    </row>
    <row r="9">
      <c r="A9" s="22" t="inlineStr">
        <is>
          <t>Category</t>
        </is>
      </c>
      <c r="B9" s="22" t="inlineStr">
        <is>
          <t>Total Counted</t>
        </is>
      </c>
      <c r="C9" s="22" t="inlineStr">
        <is>
          <t>Original Inventory</t>
        </is>
      </c>
      <c r="D9" s="22" t="inlineStr">
        <is>
          <t>Variance</t>
        </is>
      </c>
      <c r="E9" s="24" t="inlineStr">
        <is>
          <t>Sold Today</t>
        </is>
      </c>
      <c r="F9" s="24" t="inlineStr">
        <is>
          <t>Low Stock SKUs</t>
        </is>
      </c>
      <c r="G9" s="44" t="n"/>
      <c r="H9" s="24" t="inlineStr">
        <is>
          <t>Category</t>
        </is>
      </c>
      <c r="I9" s="24" t="inlineStr">
        <is>
          <t>Item</t>
        </is>
      </c>
      <c r="J9" s="24" t="inlineStr">
        <is>
          <t>Total Counted</t>
        </is>
      </c>
      <c r="K9" s="24" t="inlineStr">
        <is>
          <t>Low Stock</t>
        </is>
      </c>
    </row>
    <row r="10">
      <c r="A10" s="25" t="inlineStr">
        <is>
          <t>BEBESWEETS</t>
        </is>
      </c>
      <c r="B10" s="32">
        <f>SUM(BEBESWEETS!I5:I29)</f>
        <v/>
      </c>
      <c r="C10" s="32">
        <f>SUM(BEBESWEETS!J5:J29)</f>
        <v/>
      </c>
      <c r="D10" s="32">
        <f>SUM(BEBESWEETS!K5:K29)</f>
        <v/>
      </c>
      <c r="E10" s="28">
        <f>SUM(BEBESWEETS!N5:N29)</f>
        <v/>
      </c>
      <c r="F10" s="28">
        <f>COUNTIF(BEBESWEETS!O5:O29,"LOW")</f>
        <v/>
      </c>
      <c r="G10" s="44" t="n"/>
      <c r="H10" s="44">
        <f>IF(ALL_SKUS!J4="LOW",ALL_SKUS!A4,"")</f>
        <v/>
      </c>
      <c r="I10" s="44">
        <f>IF(ALL_SKUS!J4="LOW",ALL_SKUS!C4,"")</f>
        <v/>
      </c>
      <c r="J10" s="28">
        <f>IF(ALL_SKUS!J4="LOW",ALL_SKUS!F4,"")</f>
        <v/>
      </c>
      <c r="K10" s="28">
        <f>IF(ALL_SKUS!J4="LOW",ALL_SKUS!J4,"")</f>
        <v/>
      </c>
    </row>
    <row r="11">
      <c r="A11" s="25" t="inlineStr">
        <is>
          <t>BEBENTO</t>
        </is>
      </c>
      <c r="B11" s="32">
        <f>SUM(BEBENTO!I5:I29)</f>
        <v/>
      </c>
      <c r="C11" s="32">
        <f>SUM(BEBENTO!J5:J29)</f>
        <v/>
      </c>
      <c r="D11" s="32">
        <f>SUM(BEBENTO!K5:K29)</f>
        <v/>
      </c>
      <c r="E11" s="28">
        <f>SUM(BEBENTO!N5:N29)</f>
        <v/>
      </c>
      <c r="F11" s="28">
        <f>COUNTIF(BEBENTO!O5:O29,"LOW")</f>
        <v/>
      </c>
      <c r="G11" s="44" t="n"/>
      <c r="H11" s="44">
        <f>IF(ALL_SKUS!J5="LOW",ALL_SKUS!A5,"")</f>
        <v/>
      </c>
      <c r="I11" s="44">
        <f>IF(ALL_SKUS!J5="LOW",ALL_SKUS!C5,"")</f>
        <v/>
      </c>
      <c r="J11" s="28">
        <f>IF(ALL_SKUS!J5="LOW",ALL_SKUS!F5,"")</f>
        <v/>
      </c>
      <c r="K11" s="28">
        <f>IF(ALL_SKUS!J5="LOW",ALL_SKUS!J5,"")</f>
        <v/>
      </c>
    </row>
    <row r="12">
      <c r="A12" s="25" t="inlineStr">
        <is>
          <t>BEBEEATS</t>
        </is>
      </c>
      <c r="B12" s="32">
        <f>SUM(BEBEEATS!I5:I13)</f>
        <v/>
      </c>
      <c r="C12" s="32">
        <f>SUM(BEBEEATS!J5:J13)</f>
        <v/>
      </c>
      <c r="D12" s="32">
        <f>SUM(BEBEEATS!K5:K13)</f>
        <v/>
      </c>
      <c r="E12" s="28">
        <f>SUM(BEBEEATS!N5:N13)</f>
        <v/>
      </c>
      <c r="F12" s="28">
        <f>COUNTIF(BEBEEATS!O5:O13,"LOW")</f>
        <v/>
      </c>
      <c r="G12" s="44" t="n"/>
      <c r="H12" s="44">
        <f>IF(ALL_SKUS!J6="LOW",ALL_SKUS!A6,"")</f>
        <v/>
      </c>
      <c r="I12" s="44">
        <f>IF(ALL_SKUS!J6="LOW",ALL_SKUS!C6,"")</f>
        <v/>
      </c>
      <c r="J12" s="28">
        <f>IF(ALL_SKUS!J6="LOW",ALL_SKUS!F6,"")</f>
        <v/>
      </c>
      <c r="K12" s="28">
        <f>IF(ALL_SKUS!J6="LOW",ALL_SKUS!J6,"")</f>
        <v/>
      </c>
    </row>
    <row r="13">
      <c r="A13" s="25" t="inlineStr">
        <is>
          <t>BEBEPLAYS</t>
        </is>
      </c>
      <c r="B13" s="32">
        <f>SUM(BEBEPLAYS!I5:I25)</f>
        <v/>
      </c>
      <c r="C13" s="32">
        <f>SUM(BEBEPLAYS!J5:J25)</f>
        <v/>
      </c>
      <c r="D13" s="32">
        <f>SUM(BEBEPLAYS!K5:K25)</f>
        <v/>
      </c>
      <c r="E13" s="28">
        <f>SUM(BEBEPLAYS!N5:N25)</f>
        <v/>
      </c>
      <c r="F13" s="28">
        <f>COUNTIF(BEBEPLAYS!O5:O25,"LOW")</f>
        <v/>
      </c>
      <c r="G13" s="44" t="n"/>
      <c r="H13" s="44">
        <f>IF(ALL_SKUS!J7="LOW",ALL_SKUS!A7,"")</f>
        <v/>
      </c>
      <c r="I13" s="44">
        <f>IF(ALL_SKUS!J7="LOW",ALL_SKUS!C7,"")</f>
        <v/>
      </c>
      <c r="J13" s="28">
        <f>IF(ALL_SKUS!J7="LOW",ALL_SKUS!F7,"")</f>
        <v/>
      </c>
      <c r="K13" s="28">
        <f>IF(ALL_SKUS!J7="LOW",ALL_SKUS!J7,"")</f>
        <v/>
      </c>
    </row>
    <row r="14">
      <c r="A14" s="25" t="inlineStr">
        <is>
          <t>BEBECATS</t>
        </is>
      </c>
      <c r="B14" s="32">
        <f>SUM(BEBECATS!I5:I22)</f>
        <v/>
      </c>
      <c r="C14" s="32">
        <f>SUM(BEBECATS!J5:J22)</f>
        <v/>
      </c>
      <c r="D14" s="32">
        <f>SUM(BEBECATS!K5:K22)</f>
        <v/>
      </c>
      <c r="E14" s="28">
        <f>SUM(BEBECATS!N5:N22)</f>
        <v/>
      </c>
      <c r="F14" s="28">
        <f>COUNTIF(BEBECATS!O5:O22,"LOW")</f>
        <v/>
      </c>
      <c r="G14" s="44" t="n"/>
      <c r="H14" s="44">
        <f>IF(ALL_SKUS!J8="LOW",ALL_SKUS!A8,"")</f>
        <v/>
      </c>
      <c r="I14" s="44">
        <f>IF(ALL_SKUS!J8="LOW",ALL_SKUS!C8,"")</f>
        <v/>
      </c>
      <c r="J14" s="28">
        <f>IF(ALL_SKUS!J8="LOW",ALL_SKUS!F8,"")</f>
        <v/>
      </c>
      <c r="K14" s="28">
        <f>IF(ALL_SKUS!J8="LOW",ALL_SKUS!J8,"")</f>
        <v/>
      </c>
    </row>
    <row r="15">
      <c r="A15" s="25" t="inlineStr">
        <is>
          <t>BEBEDOGS</t>
        </is>
      </c>
      <c r="B15" s="32">
        <f>SUM(BEBEDOGS!I5:I20)</f>
        <v/>
      </c>
      <c r="C15" s="32">
        <f>SUM(BEBEDOGS!J5:J20)</f>
        <v/>
      </c>
      <c r="D15" s="32">
        <f>SUM(BEBEDOGS!K5:K20)</f>
        <v/>
      </c>
      <c r="E15" s="28">
        <f>SUM(BEBEDOGS!N5:N20)</f>
        <v/>
      </c>
      <c r="F15" s="28">
        <f>COUNTIF(BEBEDOGS!O5:O20,"LOW")</f>
        <v/>
      </c>
      <c r="G15" s="44" t="n"/>
      <c r="H15" s="44">
        <f>IF(ALL_SKUS!J9="LOW",ALL_SKUS!A9,"")</f>
        <v/>
      </c>
      <c r="I15" s="44">
        <f>IF(ALL_SKUS!J9="LOW",ALL_SKUS!C9,"")</f>
        <v/>
      </c>
      <c r="J15" s="28">
        <f>IF(ALL_SKUS!J9="LOW",ALL_SKUS!F9,"")</f>
        <v/>
      </c>
      <c r="K15" s="28">
        <f>IF(ALL_SKUS!J9="LOW",ALL_SKUS!J9,"")</f>
        <v/>
      </c>
    </row>
    <row r="16">
      <c r="A16" s="25" t="inlineStr">
        <is>
          <t>BEBEMONS</t>
        </is>
      </c>
      <c r="B16" s="32">
        <f>SUM(BEBEMONS!I5:I17)</f>
        <v/>
      </c>
      <c r="C16" s="32">
        <f>SUM(BEBEMONS!J5:J17)</f>
        <v/>
      </c>
      <c r="D16" s="32">
        <f>SUM(BEBEMONS!K5:K17)</f>
        <v/>
      </c>
      <c r="E16" s="28">
        <f>SUM(BEBEMONS!N5:N17)</f>
        <v/>
      </c>
      <c r="F16" s="28">
        <f>COUNTIF(BEBEMONS!O5:O17,"LOW")</f>
        <v/>
      </c>
      <c r="G16" s="44" t="n"/>
      <c r="H16" s="44">
        <f>IF(ALL_SKUS!J10="LOW",ALL_SKUS!A10,"")</f>
        <v/>
      </c>
      <c r="I16" s="44">
        <f>IF(ALL_SKUS!J10="LOW",ALL_SKUS!C10,"")</f>
        <v/>
      </c>
      <c r="J16" s="28">
        <f>IF(ALL_SKUS!J10="LOW",ALL_SKUS!F10,"")</f>
        <v/>
      </c>
      <c r="K16" s="28">
        <f>IF(ALL_SKUS!J10="LOW",ALL_SKUS!J10,"")</f>
        <v/>
      </c>
    </row>
    <row r="17">
      <c r="A17" s="25" t="inlineStr">
        <is>
          <t>BEBESAURS</t>
        </is>
      </c>
      <c r="B17" s="32">
        <f>SUM(BEBESAURS!I5:I19)</f>
        <v/>
      </c>
      <c r="C17" s="32">
        <f>SUM(BEBESAURS!J5:J19)</f>
        <v/>
      </c>
      <c r="D17" s="32">
        <f>SUM(BEBESAURS!K5:K19)</f>
        <v/>
      </c>
      <c r="E17" s="28">
        <f>SUM(BEBESAURS!N5:N19)</f>
        <v/>
      </c>
      <c r="F17" s="28">
        <f>COUNTIF(BEBESAURS!O5:O19,"LOW")</f>
        <v/>
      </c>
      <c r="G17" s="44" t="n"/>
      <c r="H17" s="44">
        <f>IF(ALL_SKUS!J11="LOW",ALL_SKUS!A11,"")</f>
        <v/>
      </c>
      <c r="I17" s="44">
        <f>IF(ALL_SKUS!J11="LOW",ALL_SKUS!C11,"")</f>
        <v/>
      </c>
      <c r="J17" s="28">
        <f>IF(ALL_SKUS!J11="LOW",ALL_SKUS!F11,"")</f>
        <v/>
      </c>
      <c r="K17" s="28">
        <f>IF(ALL_SKUS!J11="LOW",ALL_SKUS!J11,"")</f>
        <v/>
      </c>
    </row>
    <row r="18">
      <c r="A18" s="39" t="inlineStr">
        <is>
          <t>TOTAL</t>
        </is>
      </c>
      <c r="B18" s="30">
        <f>SUM(B10:B17)</f>
        <v/>
      </c>
      <c r="C18" s="30">
        <f>SUM(C10:C17)</f>
        <v/>
      </c>
      <c r="D18" s="30">
        <f>SUM(D10:D17)</f>
        <v/>
      </c>
      <c r="E18" s="31">
        <f>SUM(E10:E17)</f>
        <v/>
      </c>
      <c r="F18" s="31">
        <f>SUM(F10:F17)</f>
        <v/>
      </c>
      <c r="G18" s="44" t="n"/>
      <c r="H18" s="44">
        <f>IF(ALL_SKUS!J12="LOW",ALL_SKUS!A12,"")</f>
        <v/>
      </c>
      <c r="I18" s="44">
        <f>IF(ALL_SKUS!J12="LOW",ALL_SKUS!C12,"")</f>
        <v/>
      </c>
      <c r="J18" s="28">
        <f>IF(ALL_SKUS!J12="LOW",ALL_SKUS!F12,"")</f>
        <v/>
      </c>
      <c r="K18" s="28">
        <f>IF(ALL_SKUS!J12="LOW",ALL_SKUS!J12,"")</f>
        <v/>
      </c>
    </row>
    <row r="19">
      <c r="A19" s="25" t="n"/>
      <c r="B19" s="25" t="n"/>
      <c r="C19" s="25" t="n"/>
      <c r="D19" s="25" t="n"/>
      <c r="E19" s="44" t="n"/>
      <c r="F19" s="44" t="n"/>
      <c r="G19" s="44" t="n"/>
      <c r="H19" s="44">
        <f>IF(ALL_SKUS!J13="LOW",ALL_SKUS!A13,"")</f>
        <v/>
      </c>
      <c r="I19" s="44">
        <f>IF(ALL_SKUS!J13="LOW",ALL_SKUS!C13,"")</f>
        <v/>
      </c>
      <c r="J19" s="28">
        <f>IF(ALL_SKUS!J13="LOW",ALL_SKUS!F13,"")</f>
        <v/>
      </c>
      <c r="K19" s="28">
        <f>IF(ALL_SKUS!J13="LOW",ALL_SKUS!J13,"")</f>
        <v/>
      </c>
    </row>
    <row r="20">
      <c r="A20" s="25" t="n"/>
      <c r="B20" s="25" t="n"/>
      <c r="C20" s="25" t="n"/>
      <c r="D20" s="25" t="n"/>
      <c r="E20" s="44" t="n"/>
      <c r="F20" s="44" t="n"/>
      <c r="G20" s="44" t="n"/>
      <c r="H20" s="44">
        <f>IF(ALL_SKUS!J14="LOW",ALL_SKUS!A14,"")</f>
        <v/>
      </c>
      <c r="I20" s="44">
        <f>IF(ALL_SKUS!J14="LOW",ALL_SKUS!C14,"")</f>
        <v/>
      </c>
      <c r="J20" s="44">
        <f>IF(ALL_SKUS!J14="LOW",ALL_SKUS!F14,"")</f>
        <v/>
      </c>
      <c r="K20" s="44">
        <f>IF(ALL_SKUS!J14="LOW",ALL_SKUS!J14,"")</f>
        <v/>
      </c>
    </row>
    <row r="21" ht="15.75" customHeight="1" s="45">
      <c r="A21" s="25" t="n"/>
      <c r="B21" s="25" t="n"/>
      <c r="C21" s="25" t="n"/>
      <c r="D21" s="25" t="n"/>
      <c r="E21" s="44" t="n"/>
      <c r="F21" s="44" t="n"/>
      <c r="G21" s="44" t="n"/>
      <c r="H21" s="44">
        <f>IF(ALL_SKUS!J15="LOW",ALL_SKUS!A15,"")</f>
        <v/>
      </c>
      <c r="I21" s="44">
        <f>IF(ALL_SKUS!J15="LOW",ALL_SKUS!C15,"")</f>
        <v/>
      </c>
      <c r="J21" s="44">
        <f>IF(ALL_SKUS!J15="LOW",ALL_SKUS!F15,"")</f>
        <v/>
      </c>
      <c r="K21" s="44">
        <f>IF(ALL_SKUS!J15="LOW",ALL_SKUS!J15,"")</f>
        <v/>
      </c>
    </row>
    <row r="22" ht="15.75" customHeight="1" s="45">
      <c r="A22" s="25" t="n"/>
      <c r="B22" s="25" t="n"/>
      <c r="C22" s="25" t="n"/>
      <c r="D22" s="25" t="n"/>
      <c r="E22" s="44" t="n"/>
      <c r="F22" s="44" t="n"/>
      <c r="G22" s="44" t="n"/>
      <c r="H22" s="44">
        <f>IF(ALL_SKUS!J16="LOW",ALL_SKUS!A16,"")</f>
        <v/>
      </c>
      <c r="I22" s="44">
        <f>IF(ALL_SKUS!J16="LOW",ALL_SKUS!C16,"")</f>
        <v/>
      </c>
      <c r="J22" s="44">
        <f>IF(ALL_SKUS!J16="LOW",ALL_SKUS!F16,"")</f>
        <v/>
      </c>
      <c r="K22" s="44">
        <f>IF(ALL_SKUS!J16="LOW",ALL_SKUS!J16,"")</f>
        <v/>
      </c>
    </row>
    <row r="23" ht="15.75" customHeight="1" s="45">
      <c r="A23" s="25" t="n"/>
      <c r="B23" s="25" t="n"/>
      <c r="C23" s="25" t="n"/>
      <c r="D23" s="25" t="n"/>
      <c r="E23" s="44" t="n"/>
      <c r="F23" s="44" t="n"/>
      <c r="G23" s="44" t="n"/>
      <c r="H23" s="44">
        <f>IF(ALL_SKUS!J17="LOW",ALL_SKUS!A17,"")</f>
        <v/>
      </c>
      <c r="I23" s="44">
        <f>IF(ALL_SKUS!J17="LOW",ALL_SKUS!C17,"")</f>
        <v/>
      </c>
      <c r="J23" s="28">
        <f>IF(ALL_SKUS!J17="LOW",ALL_SKUS!F17,"")</f>
        <v/>
      </c>
      <c r="K23" s="28">
        <f>IF(ALL_SKUS!J17="LOW",ALL_SKUS!J17,"")</f>
        <v/>
      </c>
    </row>
    <row r="24" ht="15.75" customHeight="1" s="45">
      <c r="A24" s="25" t="n"/>
      <c r="B24" s="25" t="n"/>
      <c r="C24" s="25" t="n"/>
      <c r="D24" s="25" t="n"/>
      <c r="E24" s="44" t="n"/>
      <c r="F24" s="44" t="n"/>
      <c r="G24" s="44" t="n"/>
      <c r="H24" s="44">
        <f>IF(ALL_SKUS!J18="LOW",ALL_SKUS!A18,"")</f>
        <v/>
      </c>
      <c r="I24" s="44">
        <f>IF(ALL_SKUS!J18="LOW",ALL_SKUS!C18,"")</f>
        <v/>
      </c>
      <c r="J24" s="44">
        <f>IF(ALL_SKUS!J18="LOW",ALL_SKUS!F18,"")</f>
        <v/>
      </c>
      <c r="K24" s="44">
        <f>IF(ALL_SKUS!J18="LOW",ALL_SKUS!J18,"")</f>
        <v/>
      </c>
    </row>
    <row r="25" ht="15.75" customHeight="1" s="45">
      <c r="A25" s="25" t="n"/>
      <c r="B25" s="25" t="n"/>
      <c r="C25" s="25" t="n"/>
      <c r="D25" s="25" t="n"/>
      <c r="E25" s="44" t="n"/>
      <c r="F25" s="44" t="n"/>
      <c r="G25" s="44" t="n"/>
      <c r="H25" s="44">
        <f>IF(ALL_SKUS!J19="LOW",ALL_SKUS!A19,"")</f>
        <v/>
      </c>
      <c r="I25" s="44">
        <f>IF(ALL_SKUS!J19="LOW",ALL_SKUS!C19,"")</f>
        <v/>
      </c>
      <c r="J25" s="44">
        <f>IF(ALL_SKUS!J19="LOW",ALL_SKUS!F19,"")</f>
        <v/>
      </c>
      <c r="K25" s="44">
        <f>IF(ALL_SKUS!J19="LOW",ALL_SKUS!J19,"")</f>
        <v/>
      </c>
    </row>
    <row r="26" ht="15.75" customHeight="1" s="45">
      <c r="A26" s="25" t="n"/>
      <c r="B26" s="25" t="n"/>
      <c r="C26" s="25" t="n"/>
      <c r="D26" s="25" t="n"/>
      <c r="E26" s="44" t="n"/>
      <c r="F26" s="44" t="n"/>
      <c r="G26" s="44" t="n"/>
      <c r="H26" s="44">
        <f>IF(ALL_SKUS!J20="LOW",ALL_SKUS!A20,"")</f>
        <v/>
      </c>
      <c r="I26" s="44">
        <f>IF(ALL_SKUS!J20="LOW",ALL_SKUS!C20,"")</f>
        <v/>
      </c>
      <c r="J26" s="44">
        <f>IF(ALL_SKUS!J20="LOW",ALL_SKUS!F20,"")</f>
        <v/>
      </c>
      <c r="K26" s="44">
        <f>IF(ALL_SKUS!J20="LOW",ALL_SKUS!J20,"")</f>
        <v/>
      </c>
    </row>
    <row r="27" ht="15.75" customHeight="1" s="45">
      <c r="A27" s="25" t="n"/>
      <c r="B27" s="25" t="n"/>
      <c r="C27" s="25" t="n"/>
      <c r="D27" s="25" t="n"/>
      <c r="E27" s="44" t="n"/>
      <c r="F27" s="44" t="n"/>
      <c r="G27" s="44" t="n"/>
      <c r="H27" s="44">
        <f>IF(ALL_SKUS!J21="LOW",ALL_SKUS!A21,"")</f>
        <v/>
      </c>
      <c r="I27" s="44">
        <f>IF(ALL_SKUS!J21="LOW",ALL_SKUS!C21,"")</f>
        <v/>
      </c>
      <c r="J27" s="44">
        <f>IF(ALL_SKUS!J21="LOW",ALL_SKUS!F21,"")</f>
        <v/>
      </c>
      <c r="K27" s="44">
        <f>IF(ALL_SKUS!J21="LOW",ALL_SKUS!J21,"")</f>
        <v/>
      </c>
    </row>
    <row r="28" ht="15.75" customHeight="1" s="45">
      <c r="A28" s="25" t="n"/>
      <c r="B28" s="25" t="n"/>
      <c r="C28" s="25" t="n"/>
      <c r="D28" s="25" t="n"/>
      <c r="E28" s="44" t="n"/>
      <c r="F28" s="44" t="n"/>
      <c r="G28" s="44" t="n"/>
      <c r="H28" s="44">
        <f>IF(ALL_SKUS!J22="LOW",ALL_SKUS!A22,"")</f>
        <v/>
      </c>
      <c r="I28" s="44">
        <f>IF(ALL_SKUS!J22="LOW",ALL_SKUS!C22,"")</f>
        <v/>
      </c>
      <c r="J28" s="44">
        <f>IF(ALL_SKUS!J22="LOW",ALL_SKUS!F22,"")</f>
        <v/>
      </c>
      <c r="K28" s="44">
        <f>IF(ALL_SKUS!J22="LOW",ALL_SKUS!J22,"")</f>
        <v/>
      </c>
    </row>
    <row r="29" ht="15.75" customHeight="1" s="45">
      <c r="A29" s="25" t="n"/>
      <c r="B29" s="25" t="n"/>
      <c r="C29" s="25" t="n"/>
      <c r="D29" s="25" t="n"/>
      <c r="E29" s="44" t="n"/>
      <c r="F29" s="44" t="n"/>
      <c r="G29" s="44" t="n"/>
      <c r="H29" s="44">
        <f>IF(ALL_SKUS!J23="LOW",ALL_SKUS!A23,"")</f>
        <v/>
      </c>
      <c r="I29" s="44">
        <f>IF(ALL_SKUS!J23="LOW",ALL_SKUS!C23,"")</f>
        <v/>
      </c>
      <c r="J29" s="44">
        <f>IF(ALL_SKUS!J23="LOW",ALL_SKUS!F23,"")</f>
        <v/>
      </c>
      <c r="K29" s="44">
        <f>IF(ALL_SKUS!J23="LOW",ALL_SKUS!J23,"")</f>
        <v/>
      </c>
    </row>
    <row r="30" ht="15.75" customHeight="1" s="45">
      <c r="A30" s="25" t="n"/>
      <c r="B30" s="25" t="n"/>
      <c r="C30" s="25" t="n"/>
      <c r="D30" s="25" t="n"/>
      <c r="E30" s="44" t="n"/>
      <c r="F30" s="44" t="n"/>
      <c r="G30" s="44" t="n"/>
      <c r="H30" s="44">
        <f>IF(ALL_SKUS!J24="LOW",ALL_SKUS!A24,"")</f>
        <v/>
      </c>
      <c r="I30" s="44">
        <f>IF(ALL_SKUS!J24="LOW",ALL_SKUS!C24,"")</f>
        <v/>
      </c>
      <c r="J30" s="28">
        <f>IF(ALL_SKUS!J24="LOW",ALL_SKUS!F24,"")</f>
        <v/>
      </c>
      <c r="K30" s="28">
        <f>IF(ALL_SKUS!J24="LOW",ALL_SKUS!J24,"")</f>
        <v/>
      </c>
    </row>
    <row r="31" ht="15.75" customHeight="1" s="45">
      <c r="A31" s="25" t="n"/>
      <c r="B31" s="25" t="n"/>
      <c r="C31" s="25" t="n"/>
      <c r="D31" s="25" t="n"/>
      <c r="E31" s="44" t="n"/>
      <c r="F31" s="44" t="n"/>
      <c r="G31" s="44" t="n"/>
      <c r="H31" s="44">
        <f>IF(ALL_SKUS!J25="LOW",ALL_SKUS!A25,"")</f>
        <v/>
      </c>
      <c r="I31" s="44">
        <f>IF(ALL_SKUS!J25="LOW",ALL_SKUS!C25,"")</f>
        <v/>
      </c>
      <c r="J31" s="44">
        <f>IF(ALL_SKUS!J25="LOW",ALL_SKUS!F25,"")</f>
        <v/>
      </c>
      <c r="K31" s="44">
        <f>IF(ALL_SKUS!J25="LOW",ALL_SKUS!J25,"")</f>
        <v/>
      </c>
    </row>
    <row r="32" ht="15.75" customHeight="1" s="45">
      <c r="A32" s="25" t="n"/>
      <c r="B32" s="25" t="n"/>
      <c r="C32" s="25" t="n"/>
      <c r="D32" s="25" t="n"/>
      <c r="E32" s="44" t="n"/>
      <c r="F32" s="44" t="n"/>
      <c r="G32" s="44" t="n"/>
      <c r="H32" s="44">
        <f>IF(ALL_SKUS!J26="LOW",ALL_SKUS!A26,"")</f>
        <v/>
      </c>
      <c r="I32" s="44">
        <f>IF(ALL_SKUS!J26="LOW",ALL_SKUS!C26,"")</f>
        <v/>
      </c>
      <c r="J32" s="44">
        <f>IF(ALL_SKUS!J26="LOW",ALL_SKUS!F26,"")</f>
        <v/>
      </c>
      <c r="K32" s="44">
        <f>IF(ALL_SKUS!J26="LOW",ALL_SKUS!J26,"")</f>
        <v/>
      </c>
    </row>
    <row r="33" ht="15.75" customHeight="1" s="45">
      <c r="A33" s="25" t="n"/>
      <c r="B33" s="25" t="n"/>
      <c r="C33" s="25" t="n"/>
      <c r="D33" s="25" t="n"/>
      <c r="E33" s="44" t="n"/>
      <c r="F33" s="44" t="n"/>
      <c r="G33" s="44" t="n"/>
      <c r="H33" s="44">
        <f>IF(ALL_SKUS!J27="LOW",ALL_SKUS!A27,"")</f>
        <v/>
      </c>
      <c r="I33" s="44">
        <f>IF(ALL_SKUS!J27="LOW",ALL_SKUS!C27,"")</f>
        <v/>
      </c>
      <c r="J33" s="44">
        <f>IF(ALL_SKUS!J27="LOW",ALL_SKUS!F27,"")</f>
        <v/>
      </c>
      <c r="K33" s="44">
        <f>IF(ALL_SKUS!J27="LOW",ALL_SKUS!J27,"")</f>
        <v/>
      </c>
    </row>
    <row r="34" ht="15.75" customHeight="1" s="45">
      <c r="A34" s="25" t="n"/>
      <c r="B34" s="25" t="n"/>
      <c r="C34" s="25" t="n"/>
      <c r="D34" s="25" t="n"/>
      <c r="E34" s="44" t="n"/>
      <c r="F34" s="44" t="n"/>
      <c r="G34" s="44" t="n"/>
      <c r="H34" s="44">
        <f>IF(ALL_SKUS!J28="LOW",ALL_SKUS!A28,"")</f>
        <v/>
      </c>
      <c r="I34" s="44">
        <f>IF(ALL_SKUS!J28="LOW",ALL_SKUS!C28,"")</f>
        <v/>
      </c>
      <c r="J34" s="44">
        <f>IF(ALL_SKUS!J28="LOW",ALL_SKUS!F28,"")</f>
        <v/>
      </c>
      <c r="K34" s="44">
        <f>IF(ALL_SKUS!J28="LOW",ALL_SKUS!J28,"")</f>
        <v/>
      </c>
    </row>
    <row r="35" ht="15.75" customHeight="1" s="45">
      <c r="A35" s="25" t="n"/>
      <c r="B35" s="25" t="n"/>
      <c r="C35" s="25" t="n"/>
      <c r="D35" s="25" t="n"/>
      <c r="E35" s="44" t="n"/>
      <c r="F35" s="44" t="n"/>
      <c r="G35" s="44" t="n"/>
      <c r="H35" s="44" t="n"/>
      <c r="I35" s="44" t="n"/>
      <c r="J35" s="44" t="n"/>
      <c r="K35" s="44" t="n"/>
    </row>
    <row r="36" ht="15.75" customHeight="1" s="45">
      <c r="A36" s="25" t="n"/>
      <c r="B36" s="25" t="n"/>
      <c r="C36" s="25" t="n"/>
      <c r="D36" s="25" t="n"/>
      <c r="E36" s="44" t="n"/>
      <c r="F36" s="44" t="n"/>
      <c r="G36" s="44" t="n"/>
      <c r="H36" s="44" t="n"/>
      <c r="I36" s="44" t="n"/>
      <c r="J36" s="44" t="n"/>
      <c r="K36" s="44" t="n"/>
    </row>
    <row r="37" ht="15.75" customHeight="1" s="45">
      <c r="A37" s="25" t="n"/>
      <c r="B37" s="25" t="n"/>
      <c r="C37" s="25" t="n"/>
      <c r="D37" s="25" t="n"/>
      <c r="E37" s="44" t="n"/>
      <c r="F37" s="44" t="n"/>
      <c r="G37" s="44" t="n"/>
      <c r="H37" s="44" t="n"/>
      <c r="I37" s="44" t="n"/>
      <c r="J37" s="44" t="n"/>
      <c r="K37" s="44" t="n"/>
    </row>
    <row r="38" ht="15.75" customHeight="1" s="45">
      <c r="A38" s="38" t="inlineStr">
        <is>
          <t>Quick List: Sold Today (edit Day Start / Day End in category sheets)</t>
        </is>
      </c>
      <c r="G38" s="44" t="n"/>
      <c r="H38" s="44" t="n"/>
      <c r="I38" s="44" t="n"/>
      <c r="J38" s="44" t="n"/>
      <c r="K38" s="44" t="n"/>
    </row>
    <row r="39" ht="15.75" customHeight="1" s="45">
      <c r="A39" s="22" t="inlineStr">
        <is>
          <t>Category</t>
        </is>
      </c>
      <c r="B39" s="22" t="inlineStr">
        <is>
          <t>Item</t>
        </is>
      </c>
      <c r="C39" s="22" t="inlineStr">
        <is>
          <t>Sold Today</t>
        </is>
      </c>
      <c r="D39" s="22" t="inlineStr">
        <is>
          <t>Current Total</t>
        </is>
      </c>
      <c r="E39" s="24" t="inlineStr">
        <is>
          <t>Status</t>
        </is>
      </c>
      <c r="F39" s="44" t="n"/>
      <c r="G39" s="44" t="n"/>
      <c r="H39" s="44" t="n"/>
      <c r="I39" s="44" t="n"/>
      <c r="J39" s="44" t="n"/>
      <c r="K39" s="44" t="n"/>
    </row>
    <row r="40" ht="15.75" customHeight="1" s="45">
      <c r="A40" s="25">
        <f>IF(ALL_SKUS!I4&gt;0,ALL_SKUS!A4,"")</f>
        <v/>
      </c>
      <c r="B40" s="25">
        <f>IF(ALL_SKUS!I4&gt;0,ALL_SKUS!C4,"")</f>
        <v/>
      </c>
      <c r="C40" s="32">
        <f>IF(ALL_SKUS!I4&gt;0,ALL_SKUS!I4,"")</f>
        <v/>
      </c>
      <c r="D40" s="32">
        <f>IF(ALL_SKUS!I4&gt;0,ALL_SKUS!F4,"")</f>
        <v/>
      </c>
      <c r="E40" s="28">
        <f>IF(ALL_SKUS!I4&gt;0,ALL_SKUS!J4,"")</f>
        <v/>
      </c>
      <c r="F40" s="44" t="n"/>
      <c r="G40" s="44" t="n"/>
      <c r="H40" s="44" t="n"/>
      <c r="I40" s="44" t="n"/>
      <c r="J40" s="44" t="n"/>
      <c r="K40" s="44" t="n"/>
    </row>
    <row r="41" ht="15.75" customHeight="1" s="45">
      <c r="A41" s="25">
        <f>IF(ALL_SKUS!I5&gt;0,ALL_SKUS!A5,"")</f>
        <v/>
      </c>
      <c r="B41" s="25">
        <f>IF(ALL_SKUS!I5&gt;0,ALL_SKUS!C5,"")</f>
        <v/>
      </c>
      <c r="C41" s="32">
        <f>IF(ALL_SKUS!I5&gt;0,ALL_SKUS!I5,"")</f>
        <v/>
      </c>
      <c r="D41" s="32">
        <f>IF(ALL_SKUS!I5&gt;0,ALL_SKUS!F5,"")</f>
        <v/>
      </c>
      <c r="E41" s="28">
        <f>IF(ALL_SKUS!I5&gt;0,ALL_SKUS!J5,"")</f>
        <v/>
      </c>
      <c r="F41" s="44" t="n"/>
      <c r="G41" s="44" t="n"/>
      <c r="H41" s="44" t="n"/>
      <c r="I41" s="44" t="n"/>
      <c r="J41" s="44" t="n"/>
      <c r="K41" s="44" t="n"/>
    </row>
    <row r="42" ht="15.75" customHeight="1" s="45">
      <c r="A42" s="25">
        <f>IF(ALL_SKUS!I6&gt;0,ALL_SKUS!A6,"")</f>
        <v/>
      </c>
      <c r="B42" s="25">
        <f>IF(ALL_SKUS!I6&gt;0,ALL_SKUS!C6,"")</f>
        <v/>
      </c>
      <c r="C42" s="32">
        <f>IF(ALL_SKUS!I6&gt;0,ALL_SKUS!I6,"")</f>
        <v/>
      </c>
      <c r="D42" s="32">
        <f>IF(ALL_SKUS!I6&gt;0,ALL_SKUS!F6,"")</f>
        <v/>
      </c>
      <c r="E42" s="28">
        <f>IF(ALL_SKUS!I6&gt;0,ALL_SKUS!J6,"")</f>
        <v/>
      </c>
      <c r="F42" s="44" t="n"/>
      <c r="G42" s="44" t="n"/>
      <c r="H42" s="44" t="n"/>
      <c r="I42" s="44" t="n"/>
      <c r="J42" s="44" t="n"/>
      <c r="K42" s="44" t="n"/>
    </row>
    <row r="43" ht="15.75" customHeight="1" s="45">
      <c r="A43" s="25">
        <f>IF(ALL_SKUS!I7&gt;0,ALL_SKUS!A7,"")</f>
        <v/>
      </c>
      <c r="B43" s="25">
        <f>IF(ALL_SKUS!I7&gt;0,ALL_SKUS!C7,"")</f>
        <v/>
      </c>
      <c r="C43" s="32">
        <f>IF(ALL_SKUS!I7&gt;0,ALL_SKUS!I7,"")</f>
        <v/>
      </c>
      <c r="D43" s="32">
        <f>IF(ALL_SKUS!I7&gt;0,ALL_SKUS!F7,"")</f>
        <v/>
      </c>
      <c r="E43" s="28">
        <f>IF(ALL_SKUS!I7&gt;0,ALL_SKUS!J7,"")</f>
        <v/>
      </c>
      <c r="F43" s="44" t="n"/>
      <c r="G43" s="44" t="n"/>
      <c r="H43" s="44" t="n"/>
      <c r="I43" s="44" t="n"/>
      <c r="J43" s="44" t="n"/>
      <c r="K43" s="44" t="n"/>
    </row>
    <row r="44" ht="15.75" customHeight="1" s="45">
      <c r="A44" s="25">
        <f>IF(ALL_SKUS!I8&gt;0,ALL_SKUS!A8,"")</f>
        <v/>
      </c>
      <c r="B44" s="25">
        <f>IF(ALL_SKUS!I8&gt;0,ALL_SKUS!C8,"")</f>
        <v/>
      </c>
      <c r="C44" s="32">
        <f>IF(ALL_SKUS!I8&gt;0,ALL_SKUS!I8,"")</f>
        <v/>
      </c>
      <c r="D44" s="32">
        <f>IF(ALL_SKUS!I8&gt;0,ALL_SKUS!F8,"")</f>
        <v/>
      </c>
      <c r="E44" s="28">
        <f>IF(ALL_SKUS!I8&gt;0,ALL_SKUS!J8,"")</f>
        <v/>
      </c>
      <c r="F44" s="44" t="n"/>
      <c r="G44" s="44" t="n"/>
      <c r="H44" s="44" t="n"/>
      <c r="I44" s="44" t="n"/>
      <c r="J44" s="44" t="n"/>
      <c r="K44" s="44" t="n"/>
    </row>
    <row r="45" ht="15.75" customHeight="1" s="45">
      <c r="A45" s="25">
        <f>IF(ALL_SKUS!I9&gt;0,ALL_SKUS!A9,"")</f>
        <v/>
      </c>
      <c r="B45" s="25">
        <f>IF(ALL_SKUS!I9&gt;0,ALL_SKUS!C9,"")</f>
        <v/>
      </c>
      <c r="C45" s="32">
        <f>IF(ALL_SKUS!I9&gt;0,ALL_SKUS!I9,"")</f>
        <v/>
      </c>
      <c r="D45" s="32">
        <f>IF(ALL_SKUS!I9&gt;0,ALL_SKUS!F9,"")</f>
        <v/>
      </c>
      <c r="E45" s="28">
        <f>IF(ALL_SKUS!I9&gt;0,ALL_SKUS!J9,"")</f>
        <v/>
      </c>
      <c r="F45" s="44" t="n"/>
      <c r="G45" s="44" t="n"/>
      <c r="H45" s="44" t="n"/>
      <c r="I45" s="44" t="n"/>
      <c r="J45" s="44" t="n"/>
      <c r="K45" s="44" t="n"/>
    </row>
    <row r="46" ht="15.75" customHeight="1" s="45">
      <c r="A46" s="25">
        <f>IF(ALL_SKUS!I10&gt;0,ALL_SKUS!A10,"")</f>
        <v/>
      </c>
      <c r="B46" s="25">
        <f>IF(ALL_SKUS!I10&gt;0,ALL_SKUS!C10,"")</f>
        <v/>
      </c>
      <c r="C46" s="32">
        <f>IF(ALL_SKUS!I10&gt;0,ALL_SKUS!I10,"")</f>
        <v/>
      </c>
      <c r="D46" s="32">
        <f>IF(ALL_SKUS!I10&gt;0,ALL_SKUS!F10,"")</f>
        <v/>
      </c>
      <c r="E46" s="28">
        <f>IF(ALL_SKUS!I10&gt;0,ALL_SKUS!J10,"")</f>
        <v/>
      </c>
      <c r="F46" s="44" t="n"/>
      <c r="G46" s="44" t="n"/>
      <c r="H46" s="44" t="n"/>
      <c r="I46" s="44" t="n"/>
      <c r="J46" s="44" t="n"/>
      <c r="K46" s="44" t="n"/>
    </row>
    <row r="47" ht="15.75" customHeight="1" s="45">
      <c r="A47" s="25">
        <f>IF(ALL_SKUS!I11&gt;0,ALL_SKUS!A11,"")</f>
        <v/>
      </c>
      <c r="B47" s="25">
        <f>IF(ALL_SKUS!I11&gt;0,ALL_SKUS!C11,"")</f>
        <v/>
      </c>
      <c r="C47" s="32">
        <f>IF(ALL_SKUS!I11&gt;0,ALL_SKUS!I11,"")</f>
        <v/>
      </c>
      <c r="D47" s="32">
        <f>IF(ALL_SKUS!I11&gt;0,ALL_SKUS!F11,"")</f>
        <v/>
      </c>
      <c r="E47" s="28">
        <f>IF(ALL_SKUS!I11&gt;0,ALL_SKUS!J11,"")</f>
        <v/>
      </c>
      <c r="F47" s="44" t="n"/>
      <c r="G47" s="44" t="n"/>
      <c r="H47" s="44" t="n"/>
      <c r="I47" s="44" t="n"/>
      <c r="J47" s="44" t="n"/>
      <c r="K47" s="44" t="n"/>
    </row>
    <row r="48" ht="15.75" customHeight="1" s="45">
      <c r="A48" s="25">
        <f>IF(ALL_SKUS!I12&gt;0,ALL_SKUS!A12,"")</f>
        <v/>
      </c>
      <c r="B48" s="25">
        <f>IF(ALL_SKUS!I12&gt;0,ALL_SKUS!C12,"")</f>
        <v/>
      </c>
      <c r="C48" s="32">
        <f>IF(ALL_SKUS!I12&gt;0,ALL_SKUS!I12,"")</f>
        <v/>
      </c>
      <c r="D48" s="32">
        <f>IF(ALL_SKUS!I12&gt;0,ALL_SKUS!F12,"")</f>
        <v/>
      </c>
      <c r="E48" s="28">
        <f>IF(ALL_SKUS!I12&gt;0,ALL_SKUS!J12,"")</f>
        <v/>
      </c>
      <c r="F48" s="44" t="n"/>
      <c r="G48" s="44" t="n"/>
      <c r="H48" s="44" t="n"/>
      <c r="I48" s="44" t="n"/>
      <c r="J48" s="44" t="n"/>
      <c r="K48" s="44" t="n"/>
    </row>
    <row r="49" ht="15.75" customHeight="1" s="45">
      <c r="A49" s="25">
        <f>IF(ALL_SKUS!I13&gt;0,ALL_SKUS!A13,"")</f>
        <v/>
      </c>
      <c r="B49" s="25">
        <f>IF(ALL_SKUS!I13&gt;0,ALL_SKUS!C13,"")</f>
        <v/>
      </c>
      <c r="C49" s="32">
        <f>IF(ALL_SKUS!I13&gt;0,ALL_SKUS!I13,"")</f>
        <v/>
      </c>
      <c r="D49" s="32">
        <f>IF(ALL_SKUS!I13&gt;0,ALL_SKUS!F13,"")</f>
        <v/>
      </c>
      <c r="E49" s="28">
        <f>IF(ALL_SKUS!I13&gt;0,ALL_SKUS!J13,"")</f>
        <v/>
      </c>
      <c r="F49" s="44" t="n"/>
      <c r="G49" s="44" t="n"/>
      <c r="H49" s="44" t="n"/>
      <c r="I49" s="44" t="n"/>
      <c r="J49" s="44" t="n"/>
      <c r="K49" s="44" t="n"/>
    </row>
    <row r="50" ht="15.75" customHeight="1" s="45">
      <c r="A50" s="25">
        <f>IF(ALL_SKUS!I14&gt;0,ALL_SKUS!A14,"")</f>
        <v/>
      </c>
      <c r="B50" s="25">
        <f>IF(ALL_SKUS!I14&gt;0,ALL_SKUS!C14,"")</f>
        <v/>
      </c>
      <c r="C50" s="32">
        <f>IF(ALL_SKUS!I14&gt;0,ALL_SKUS!I14,"")</f>
        <v/>
      </c>
      <c r="D50" s="32">
        <f>IF(ALL_SKUS!I14&gt;0,ALL_SKUS!F14,"")</f>
        <v/>
      </c>
      <c r="E50" s="28">
        <f>IF(ALL_SKUS!I14&gt;0,ALL_SKUS!J14,"")</f>
        <v/>
      </c>
      <c r="F50" s="44" t="n"/>
      <c r="G50" s="44" t="n"/>
      <c r="H50" s="44" t="n"/>
      <c r="I50" s="44" t="n"/>
      <c r="J50" s="44" t="n"/>
      <c r="K50" s="44" t="n"/>
    </row>
    <row r="51" ht="15.75" customHeight="1" s="45">
      <c r="A51" s="25">
        <f>IF(ALL_SKUS!I15&gt;0,ALL_SKUS!A15,"")</f>
        <v/>
      </c>
      <c r="B51" s="25">
        <f>IF(ALL_SKUS!I15&gt;0,ALL_SKUS!C15,"")</f>
        <v/>
      </c>
      <c r="C51" s="32">
        <f>IF(ALL_SKUS!I15&gt;0,ALL_SKUS!I15,"")</f>
        <v/>
      </c>
      <c r="D51" s="32">
        <f>IF(ALL_SKUS!I15&gt;0,ALL_SKUS!F15,"")</f>
        <v/>
      </c>
      <c r="E51" s="28">
        <f>IF(ALL_SKUS!I15&gt;0,ALL_SKUS!J15,"")</f>
        <v/>
      </c>
      <c r="F51" s="44" t="n"/>
      <c r="G51" s="44" t="n"/>
      <c r="H51" s="44" t="n"/>
      <c r="I51" s="44" t="n"/>
      <c r="J51" s="44" t="n"/>
      <c r="K51" s="44" t="n"/>
    </row>
    <row r="52" ht="15.75" customHeight="1" s="45">
      <c r="A52" s="25">
        <f>IF(ALL_SKUS!I16&gt;0,ALL_SKUS!A16,"")</f>
        <v/>
      </c>
      <c r="B52" s="25">
        <f>IF(ALL_SKUS!I16&gt;0,ALL_SKUS!C16,"")</f>
        <v/>
      </c>
      <c r="C52" s="32">
        <f>IF(ALL_SKUS!I16&gt;0,ALL_SKUS!I16,"")</f>
        <v/>
      </c>
      <c r="D52" s="32">
        <f>IF(ALL_SKUS!I16&gt;0,ALL_SKUS!F16,"")</f>
        <v/>
      </c>
      <c r="E52" s="28">
        <f>IF(ALL_SKUS!I16&gt;0,ALL_SKUS!J16,"")</f>
        <v/>
      </c>
      <c r="F52" s="44" t="n"/>
      <c r="G52" s="44" t="n"/>
      <c r="H52" s="44" t="n"/>
      <c r="I52" s="44" t="n"/>
      <c r="J52" s="44" t="n"/>
      <c r="K52" s="44" t="n"/>
    </row>
    <row r="53" ht="15.75" customHeight="1" s="45">
      <c r="A53" s="25">
        <f>IF(ALL_SKUS!I17&gt;0,ALL_SKUS!A17,"")</f>
        <v/>
      </c>
      <c r="B53" s="25">
        <f>IF(ALL_SKUS!I17&gt;0,ALL_SKUS!C17,"")</f>
        <v/>
      </c>
      <c r="C53" s="32">
        <f>IF(ALL_SKUS!I17&gt;0,ALL_SKUS!I17,"")</f>
        <v/>
      </c>
      <c r="D53" s="32">
        <f>IF(ALL_SKUS!I17&gt;0,ALL_SKUS!F17,"")</f>
        <v/>
      </c>
      <c r="E53" s="28">
        <f>IF(ALL_SKUS!I17&gt;0,ALL_SKUS!J17,"")</f>
        <v/>
      </c>
      <c r="F53" s="44" t="n"/>
      <c r="G53" s="44" t="n"/>
      <c r="H53" s="44" t="n"/>
      <c r="I53" s="44" t="n"/>
      <c r="J53" s="44" t="n"/>
      <c r="K53" s="44" t="n"/>
    </row>
    <row r="54" ht="15.75" customHeight="1" s="45">
      <c r="A54" s="25">
        <f>IF(ALL_SKUS!I18&gt;0,ALL_SKUS!A18,"")</f>
        <v/>
      </c>
      <c r="B54" s="25">
        <f>IF(ALL_SKUS!I18&gt;0,ALL_SKUS!C18,"")</f>
        <v/>
      </c>
      <c r="C54" s="32">
        <f>IF(ALL_SKUS!I18&gt;0,ALL_SKUS!I18,"")</f>
        <v/>
      </c>
      <c r="D54" s="32">
        <f>IF(ALL_SKUS!I18&gt;0,ALL_SKUS!F18,"")</f>
        <v/>
      </c>
      <c r="E54" s="28">
        <f>IF(ALL_SKUS!I18&gt;0,ALL_SKUS!J18,"")</f>
        <v/>
      </c>
      <c r="F54" s="44" t="n"/>
      <c r="G54" s="44" t="n"/>
      <c r="H54" s="44" t="n"/>
      <c r="I54" s="44" t="n"/>
      <c r="J54" s="44" t="n"/>
      <c r="K54" s="44" t="n"/>
    </row>
    <row r="55" ht="15.75" customHeight="1" s="45">
      <c r="A55" s="25">
        <f>IF(ALL_SKUS!I19&gt;0,ALL_SKUS!A19,"")</f>
        <v/>
      </c>
      <c r="B55" s="25">
        <f>IF(ALL_SKUS!I19&gt;0,ALL_SKUS!C19,"")</f>
        <v/>
      </c>
      <c r="C55" s="32">
        <f>IF(ALL_SKUS!I19&gt;0,ALL_SKUS!I19,"")</f>
        <v/>
      </c>
      <c r="D55" s="32">
        <f>IF(ALL_SKUS!I19&gt;0,ALL_SKUS!F19,"")</f>
        <v/>
      </c>
      <c r="E55" s="28">
        <f>IF(ALL_SKUS!I19&gt;0,ALL_SKUS!J19,"")</f>
        <v/>
      </c>
      <c r="F55" s="44" t="n"/>
      <c r="G55" s="44" t="n"/>
      <c r="H55" s="44" t="n"/>
      <c r="I55" s="44" t="n"/>
      <c r="J55" s="44" t="n"/>
      <c r="K55" s="44" t="n"/>
    </row>
    <row r="56" ht="15.75" customHeight="1" s="45">
      <c r="A56" s="25">
        <f>IF(ALL_SKUS!I20&gt;0,ALL_SKUS!A20,"")</f>
        <v/>
      </c>
      <c r="B56" s="25">
        <f>IF(ALL_SKUS!I20&gt;0,ALL_SKUS!C20,"")</f>
        <v/>
      </c>
      <c r="C56" s="32">
        <f>IF(ALL_SKUS!I20&gt;0,ALL_SKUS!I20,"")</f>
        <v/>
      </c>
      <c r="D56" s="32">
        <f>IF(ALL_SKUS!I20&gt;0,ALL_SKUS!F20,"")</f>
        <v/>
      </c>
      <c r="E56" s="28">
        <f>IF(ALL_SKUS!I20&gt;0,ALL_SKUS!J20,"")</f>
        <v/>
      </c>
      <c r="F56" s="44" t="n"/>
      <c r="G56" s="44" t="n"/>
      <c r="H56" s="44" t="n"/>
      <c r="I56" s="44" t="n"/>
      <c r="J56" s="44" t="n"/>
      <c r="K56" s="44" t="n"/>
    </row>
    <row r="57" ht="15.75" customHeight="1" s="45">
      <c r="A57" s="25">
        <f>IF(ALL_SKUS!I21&gt;0,ALL_SKUS!A21,"")</f>
        <v/>
      </c>
      <c r="B57" s="25">
        <f>IF(ALL_SKUS!I21&gt;0,ALL_SKUS!C21,"")</f>
        <v/>
      </c>
      <c r="C57" s="32">
        <f>IF(ALL_SKUS!I21&gt;0,ALL_SKUS!I21,"")</f>
        <v/>
      </c>
      <c r="D57" s="32">
        <f>IF(ALL_SKUS!I21&gt;0,ALL_SKUS!F21,"")</f>
        <v/>
      </c>
      <c r="E57" s="28">
        <f>IF(ALL_SKUS!I21&gt;0,ALL_SKUS!J21,"")</f>
        <v/>
      </c>
      <c r="F57" s="44" t="n"/>
      <c r="G57" s="44" t="n"/>
      <c r="H57" s="44" t="n"/>
      <c r="I57" s="44" t="n"/>
      <c r="J57" s="44" t="n"/>
      <c r="K57" s="44" t="n"/>
    </row>
    <row r="58" ht="15.75" customHeight="1" s="45">
      <c r="A58" s="25">
        <f>IF(ALL_SKUS!I22&gt;0,ALL_SKUS!A22,"")</f>
        <v/>
      </c>
      <c r="B58" s="25">
        <f>IF(ALL_SKUS!I22&gt;0,ALL_SKUS!C22,"")</f>
        <v/>
      </c>
      <c r="C58" s="32">
        <f>IF(ALL_SKUS!I22&gt;0,ALL_SKUS!I22,"")</f>
        <v/>
      </c>
      <c r="D58" s="32">
        <f>IF(ALL_SKUS!I22&gt;0,ALL_SKUS!F22,"")</f>
        <v/>
      </c>
      <c r="E58" s="28">
        <f>IF(ALL_SKUS!I22&gt;0,ALL_SKUS!J22,"")</f>
        <v/>
      </c>
      <c r="F58" s="44" t="n"/>
      <c r="G58" s="44" t="n"/>
      <c r="H58" s="44" t="n"/>
      <c r="I58" s="44" t="n"/>
      <c r="J58" s="44" t="n"/>
      <c r="K58" s="44" t="n"/>
    </row>
    <row r="59" ht="15.75" customHeight="1" s="45">
      <c r="A59" s="25">
        <f>IF(ALL_SKUS!I23&gt;0,ALL_SKUS!A23,"")</f>
        <v/>
      </c>
      <c r="B59" s="25">
        <f>IF(ALL_SKUS!I23&gt;0,ALL_SKUS!C23,"")</f>
        <v/>
      </c>
      <c r="C59" s="32">
        <f>IF(ALL_SKUS!I23&gt;0,ALL_SKUS!I23,"")</f>
        <v/>
      </c>
      <c r="D59" s="32">
        <f>IF(ALL_SKUS!I23&gt;0,ALL_SKUS!F23,"")</f>
        <v/>
      </c>
      <c r="E59" s="28">
        <f>IF(ALL_SKUS!I23&gt;0,ALL_SKUS!J23,"")</f>
        <v/>
      </c>
      <c r="F59" s="44" t="n"/>
      <c r="G59" s="44" t="n"/>
      <c r="H59" s="44" t="n"/>
      <c r="I59" s="44" t="n"/>
      <c r="J59" s="44" t="n"/>
      <c r="K59" s="44" t="n"/>
    </row>
    <row r="60" ht="15.75" customHeight="1" s="45"/>
    <row r="61" ht="15.75" customHeight="1" s="45"/>
    <row r="62" ht="15.75" customHeight="1" s="45"/>
    <row r="63" ht="15.75" customHeight="1" s="45"/>
    <row r="64" ht="15.75" customHeight="1" s="45"/>
    <row r="65" ht="15.75" customHeight="1" s="45"/>
    <row r="66" ht="15.75" customHeight="1" s="45"/>
    <row r="67" ht="15.75" customHeight="1" s="45"/>
    <row r="68" ht="15.75" customHeight="1" s="45"/>
    <row r="69" ht="15.75" customHeight="1" s="45"/>
    <row r="70" ht="15.75" customHeight="1" s="45"/>
    <row r="71" ht="15.75" customHeight="1" s="45"/>
    <row r="72" ht="15.75" customHeight="1" s="45"/>
    <row r="73" ht="15.75" customHeight="1" s="45"/>
    <row r="74" ht="15.75" customHeight="1" s="45"/>
    <row r="75" ht="15.75" customHeight="1" s="45"/>
    <row r="76" ht="15.75" customHeight="1" s="45"/>
    <row r="77" ht="15.75" customHeight="1" s="45"/>
    <row r="78" ht="15.75" customHeight="1" s="45"/>
    <row r="79" ht="15.75" customHeight="1" s="45"/>
    <row r="80" ht="15.75" customHeight="1" s="45"/>
    <row r="81" ht="15.75" customHeight="1" s="45"/>
    <row r="82" ht="15.75" customHeight="1" s="45"/>
    <row r="83" ht="15.75" customHeight="1" s="45"/>
    <row r="84" ht="15.75" customHeight="1" s="45"/>
    <row r="85" ht="15.75" customHeight="1" s="45"/>
    <row r="86" ht="15.75" customHeight="1" s="45"/>
    <row r="87" ht="15.75" customHeight="1" s="45"/>
    <row r="88" ht="15.75" customHeight="1" s="45"/>
    <row r="89" ht="15.75" customHeight="1" s="45"/>
    <row r="90" ht="15.75" customHeight="1" s="45"/>
    <row r="91" ht="15.75" customHeight="1" s="45"/>
    <row r="92" ht="15.75" customHeight="1" s="45"/>
    <row r="93" ht="15.75" customHeight="1" s="45"/>
    <row r="94" ht="15.75" customHeight="1" s="45"/>
    <row r="95" ht="15.75" customHeight="1" s="45"/>
    <row r="96" ht="15.75" customHeight="1" s="45"/>
    <row r="97" ht="15.75" customHeight="1" s="45"/>
    <row r="98" ht="15.75" customHeight="1" s="45"/>
    <row r="99" ht="15.75" customHeight="1" s="45"/>
    <row r="100" ht="15.75" customHeight="1" s="45"/>
    <row r="101" ht="15.75" customHeight="1" s="45"/>
    <row r="102" ht="15.75" customHeight="1" s="45"/>
    <row r="103" ht="15.75" customHeight="1" s="45"/>
    <row r="104" ht="15.75" customHeight="1" s="45"/>
    <row r="105" ht="15.75" customHeight="1" s="45"/>
    <row r="106" ht="15.75" customHeight="1" s="45"/>
    <row r="107" ht="15.75" customHeight="1" s="45"/>
    <row r="108" ht="15.75" customHeight="1" s="45"/>
    <row r="109" ht="15.75" customHeight="1" s="45"/>
    <row r="110" ht="15.75" customHeight="1" s="45"/>
    <row r="111" ht="15.75" customHeight="1" s="45"/>
    <row r="112" ht="15.75" customHeight="1" s="45"/>
    <row r="113" ht="15.75" customHeight="1" s="45"/>
    <row r="114" ht="15.75" customHeight="1" s="45"/>
    <row r="115" ht="15.75" customHeight="1" s="45"/>
    <row r="116" ht="15.75" customHeight="1" s="45"/>
    <row r="117" ht="15.75" customHeight="1" s="45"/>
    <row r="118" ht="15.75" customHeight="1" s="45"/>
    <row r="119" ht="15.75" customHeight="1" s="45"/>
    <row r="120" ht="15.75" customHeight="1" s="45"/>
    <row r="121" ht="15.75" customHeight="1" s="45"/>
    <row r="122" ht="15.75" customHeight="1" s="45"/>
    <row r="123" ht="15.75" customHeight="1" s="45"/>
    <row r="124" ht="15.75" customHeight="1" s="45"/>
    <row r="125" ht="15.75" customHeight="1" s="45"/>
    <row r="126" ht="15.75" customHeight="1" s="45"/>
    <row r="127" ht="15.75" customHeight="1" s="45"/>
    <row r="128" ht="15.75" customHeight="1" s="45"/>
    <row r="129" ht="15.75" customHeight="1" s="45"/>
    <row r="130" ht="15.75" customHeight="1" s="45"/>
    <row r="131" ht="15.75" customHeight="1" s="45"/>
    <row r="132" ht="15.75" customHeight="1" s="45"/>
    <row r="133" ht="15.75" customHeight="1" s="45"/>
    <row r="134" ht="15.75" customHeight="1" s="45"/>
    <row r="135" ht="15.75" customHeight="1" s="45"/>
    <row r="136" ht="15.75" customHeight="1" s="45"/>
    <row r="137" ht="15.75" customHeight="1" s="45"/>
    <row r="138" ht="15.75" customHeight="1" s="45"/>
    <row r="139" ht="15.75" customHeight="1" s="45"/>
    <row r="140" ht="15.75" customHeight="1" s="45"/>
    <row r="141" ht="15.75" customHeight="1" s="45"/>
    <row r="142" ht="15.75" customHeight="1" s="45"/>
    <row r="143" ht="15.75" customHeight="1" s="45"/>
    <row r="144" ht="15.75" customHeight="1" s="45"/>
    <row r="145" ht="15.75" customHeight="1" s="45"/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13">
    <mergeCell ref="A38:F38"/>
    <mergeCell ref="G4:H4"/>
    <mergeCell ref="E4:F4"/>
    <mergeCell ref="A4:B4"/>
    <mergeCell ref="H8:K8"/>
    <mergeCell ref="A2:H2"/>
    <mergeCell ref="C5:D5"/>
    <mergeCell ref="A5:B5"/>
    <mergeCell ref="A8:F8"/>
    <mergeCell ref="E5:F5"/>
    <mergeCell ref="G5:H5"/>
    <mergeCell ref="A1:H1"/>
    <mergeCell ref="C4:D4"/>
  </mergeCells>
  <pageMargins left="0.7" right="0.7" top="0.75" bottom="0.75" header="0" footer="0"/>
  <pageSetup orientation="landscape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R31"/>
  <sheetViews>
    <sheetView showGridLines="0" workbookViewId="0">
      <selection activeCell="A1" sqref="A1"/>
    </sheetView>
  </sheetViews>
  <sheetFormatPr baseColWidth="8" defaultColWidth="14.43" defaultRowHeight="15" customHeight="1"/>
  <cols>
    <col width="12" customWidth="1" style="45" min="1" max="1"/>
    <col width="22" customWidth="1" style="45" min="2" max="2"/>
    <col width="20" customWidth="1" style="45" min="3" max="3"/>
    <col width="16" customWidth="1" style="45" min="4" max="4"/>
    <col width="10" customWidth="1" style="45" min="5" max="7"/>
    <col width="12" customWidth="1" style="45" min="8" max="9"/>
    <col width="14" customWidth="1" style="45" min="10" max="11"/>
    <col width="11" customWidth="1" style="45" min="12" max="14"/>
    <col width="10" customWidth="1" style="45" min="15" max="15"/>
    <col width="12" customWidth="1" style="45" min="16" max="16"/>
    <col width="18" customWidth="1" style="45" min="17" max="17"/>
    <col width="8.710000000000001" customWidth="1" style="45" min="18" max="26"/>
  </cols>
  <sheetData>
    <row r="1">
      <c r="A1" s="46" t="inlineStr">
        <is>
          <t>BEBESWEETS Inventory</t>
        </is>
      </c>
    </row>
    <row r="2">
      <c r="A2" s="49" t="inlineStr">
        <is>
          <t>Update blue cells only. Everything else updates automatically.</t>
        </is>
      </c>
    </row>
    <row r="3">
      <c r="A3" s="25" t="n"/>
      <c r="B3" s="25" t="n"/>
      <c r="C3" s="25" t="n"/>
      <c r="D3" s="25" t="n"/>
      <c r="E3" s="44" t="n"/>
      <c r="F3" s="44" t="n"/>
      <c r="G3" s="44" t="n"/>
      <c r="H3" s="44" t="n"/>
      <c r="I3" s="44" t="n"/>
      <c r="J3" s="44" t="n"/>
      <c r="K3" s="44" t="n"/>
      <c r="L3" s="44" t="n"/>
      <c r="M3" s="44" t="n"/>
      <c r="N3" s="44" t="n"/>
      <c r="O3" s="44" t="n"/>
      <c r="P3" s="44" t="n"/>
      <c r="Q3" s="25" t="n"/>
    </row>
    <row r="4">
      <c r="A4" s="22" t="inlineStr">
        <is>
          <t>SKU</t>
        </is>
      </c>
      <c r="B4" s="22" t="inlineStr">
        <is>
          <t>Item</t>
        </is>
      </c>
      <c r="C4" s="22" t="inlineStr">
        <is>
          <t>Color / Variant</t>
        </is>
      </c>
      <c r="D4" s="22" t="inlineStr">
        <is>
          <t>Tag</t>
        </is>
      </c>
      <c r="E4" s="24" t="inlineStr">
        <is>
          <t>Display A</t>
        </is>
      </c>
      <c r="F4" s="24" t="inlineStr">
        <is>
          <t>Display B</t>
        </is>
      </c>
      <c r="G4" s="24" t="inlineStr">
        <is>
          <t>Display C</t>
        </is>
      </c>
      <c r="H4" s="24" t="inlineStr">
        <is>
          <t>Back Stock</t>
        </is>
      </c>
      <c r="I4" s="24" t="inlineStr">
        <is>
          <t>Total Counted</t>
        </is>
      </c>
      <c r="J4" s="24" t="inlineStr">
        <is>
          <t>Original Inventory</t>
        </is>
      </c>
      <c r="K4" s="24" t="inlineStr">
        <is>
          <t>Variance vs Original</t>
        </is>
      </c>
      <c r="L4" s="24" t="inlineStr">
        <is>
          <t>Day Start</t>
        </is>
      </c>
      <c r="M4" s="24" t="inlineStr">
        <is>
          <t>Day End</t>
        </is>
      </c>
      <c r="N4" s="24" t="inlineStr">
        <is>
          <t>Sold Today</t>
        </is>
      </c>
      <c r="O4" s="24" t="inlineStr">
        <is>
          <t>Low Stock</t>
        </is>
      </c>
      <c r="P4" s="24" t="inlineStr">
        <is>
          <t>Refill Needed</t>
        </is>
      </c>
      <c r="Q4" s="22" t="inlineStr">
        <is>
          <t>Notes</t>
        </is>
      </c>
      <c r="R4" s="0" t="inlineStr">
        <is>
          <t>IP</t>
        </is>
      </c>
    </row>
    <row r="5">
      <c r="A5" s="25" t="inlineStr">
        <is>
          <t>BEBE-001</t>
        </is>
      </c>
      <c r="B5" s="25" t="inlineStr">
        <is>
          <t>Macaron</t>
        </is>
      </c>
      <c r="C5" s="25" t="inlineStr">
        <is>
          <t>Pink</t>
        </is>
      </c>
      <c r="D5" s="25" t="inlineStr"/>
      <c r="E5" s="34" t="n">
        <v>0</v>
      </c>
      <c r="F5" s="34" t="n">
        <v>0</v>
      </c>
      <c r="G5" s="34" t="n">
        <v>0</v>
      </c>
      <c r="H5" s="34" t="n">
        <v>0</v>
      </c>
      <c r="I5" s="41">
        <f>SUM(E5:H5)</f>
        <v/>
      </c>
      <c r="J5" s="36" t="n">
        <v>1</v>
      </c>
      <c r="K5" s="41">
        <f>IF(OR(I5="",J5=""),"",I5-J5)</f>
        <v/>
      </c>
      <c r="L5" s="34" t="inlineStr"/>
      <c r="M5" s="34" t="inlineStr"/>
      <c r="N5" s="41">
        <f>IF(AND(L5&lt;&gt;"",M5&lt;&gt;""),L5-M5,"")</f>
        <v/>
      </c>
      <c r="O5" s="41">
        <f>IF(I5&lt;=SETTINGS!$B$3,"LOW","OK")</f>
        <v/>
      </c>
      <c r="P5" s="41">
        <f>MAX(0,SETTINGS!$B$4-E5)+MAX(0,SETTINGS!$B$4-F5)+MAX(0,SETTINGS!$B$4-G5)</f>
        <v/>
      </c>
      <c r="Q5" s="37" t="inlineStr"/>
    </row>
    <row r="6">
      <c r="A6" s="25" t="inlineStr">
        <is>
          <t>BEBE-002</t>
        </is>
      </c>
      <c r="B6" s="25" t="inlineStr">
        <is>
          <t>Macaron</t>
        </is>
      </c>
      <c r="C6" s="25" t="inlineStr">
        <is>
          <t>Orange</t>
        </is>
      </c>
      <c r="D6" s="25" t="inlineStr"/>
      <c r="E6" s="34" t="n">
        <v>1</v>
      </c>
      <c r="F6" s="34" t="n">
        <v>0</v>
      </c>
      <c r="G6" s="34" t="n">
        <v>0</v>
      </c>
      <c r="H6" s="34" t="n">
        <v>0</v>
      </c>
      <c r="I6" s="41">
        <f>SUM(E6:H6)</f>
        <v/>
      </c>
      <c r="J6" s="36" t="n">
        <v>2</v>
      </c>
      <c r="K6" s="41">
        <f>IF(OR(I6="",J6=""),"",I6-J6)</f>
        <v/>
      </c>
      <c r="L6" s="34" t="inlineStr"/>
      <c r="M6" s="34" t="inlineStr"/>
      <c r="N6" s="41">
        <f>IF(AND(L6&lt;&gt;"",M6&lt;&gt;""),L6-M6,"")</f>
        <v/>
      </c>
      <c r="O6" s="41">
        <f>IF(I6&lt;=SETTINGS!$B$3,"LOW","OK")</f>
        <v/>
      </c>
      <c r="P6" s="41">
        <f>MAX(0,SETTINGS!$B$4-E6)+MAX(0,SETTINGS!$B$4-F6)+MAX(0,SETTINGS!$B$4-G6)</f>
        <v/>
      </c>
      <c r="Q6" s="37" t="inlineStr"/>
    </row>
    <row r="7">
      <c r="A7" s="25" t="inlineStr">
        <is>
          <t>BEBE-003</t>
        </is>
      </c>
      <c r="B7" s="25" t="inlineStr">
        <is>
          <t>Macaron</t>
        </is>
      </c>
      <c r="C7" s="25" t="inlineStr">
        <is>
          <t>Light Brown</t>
        </is>
      </c>
      <c r="D7" s="25" t="inlineStr"/>
      <c r="E7" s="34" t="n">
        <v>0</v>
      </c>
      <c r="F7" s="34" t="n">
        <v>0</v>
      </c>
      <c r="G7" s="34" t="n">
        <v>0</v>
      </c>
      <c r="H7" s="34" t="n">
        <v>0</v>
      </c>
      <c r="I7" s="41">
        <f>SUM(E7:H7)</f>
        <v/>
      </c>
      <c r="J7" s="36" t="n">
        <v>0</v>
      </c>
      <c r="K7" s="41">
        <f>IF(OR(I7="",J7=""),"",I7-J7)</f>
        <v/>
      </c>
      <c r="L7" s="34" t="inlineStr"/>
      <c r="M7" s="34" t="inlineStr"/>
      <c r="N7" s="41">
        <f>IF(AND(L7&lt;&gt;"",M7&lt;&gt;""),L7-M7,"")</f>
        <v/>
      </c>
      <c r="O7" s="41">
        <f>IF(I7&lt;=SETTINGS!$B$3,"LOW","OK")</f>
        <v/>
      </c>
      <c r="P7" s="41">
        <f>MAX(0,SETTINGS!$B$4-E7)+MAX(0,SETTINGS!$B$4-F7)+MAX(0,SETTINGS!$B$4-G7)</f>
        <v/>
      </c>
      <c r="Q7" s="37" t="inlineStr"/>
    </row>
    <row r="8">
      <c r="A8" s="25" t="inlineStr">
        <is>
          <t>BEBE-004</t>
        </is>
      </c>
      <c r="B8" s="25" t="inlineStr">
        <is>
          <t>Macaron</t>
        </is>
      </c>
      <c r="C8" s="25" t="inlineStr">
        <is>
          <t>Yellow</t>
        </is>
      </c>
      <c r="D8" s="25" t="inlineStr"/>
      <c r="E8" s="34" t="n">
        <v>2</v>
      </c>
      <c r="F8" s="34" t="n">
        <v>1</v>
      </c>
      <c r="G8" s="34" t="n">
        <v>1</v>
      </c>
      <c r="H8" s="34" t="n">
        <v>0</v>
      </c>
      <c r="I8" s="41">
        <f>SUM(E8:H8)</f>
        <v/>
      </c>
      <c r="J8" s="36" t="n">
        <v>4</v>
      </c>
      <c r="K8" s="41">
        <f>IF(OR(I8="",J8=""),"",I8-J8)</f>
        <v/>
      </c>
      <c r="L8" s="34" t="inlineStr"/>
      <c r="M8" s="34" t="inlineStr"/>
      <c r="N8" s="41">
        <f>IF(AND(L8&lt;&gt;"",M8&lt;&gt;""),L8-M8,"")</f>
        <v/>
      </c>
      <c r="O8" s="41">
        <f>IF(I8&lt;=SETTINGS!$B$3,"LOW","OK")</f>
        <v/>
      </c>
      <c r="P8" s="41">
        <f>MAX(0,SETTINGS!$B$4-E8)+MAX(0,SETTINGS!$B$4-F8)+MAX(0,SETTINGS!$B$4-G8)</f>
        <v/>
      </c>
      <c r="Q8" s="37" t="inlineStr"/>
    </row>
    <row r="9">
      <c r="A9" s="25" t="inlineStr">
        <is>
          <t>BEBE-005</t>
        </is>
      </c>
      <c r="B9" s="25" t="inlineStr">
        <is>
          <t>Macaron</t>
        </is>
      </c>
      <c r="C9" s="25" t="inlineStr">
        <is>
          <t>Blue</t>
        </is>
      </c>
      <c r="D9" s="25" t="inlineStr"/>
      <c r="E9" s="34" t="n">
        <v>0</v>
      </c>
      <c r="F9" s="34" t="n">
        <v>0</v>
      </c>
      <c r="G9" s="34" t="n">
        <v>0</v>
      </c>
      <c r="H9" s="34" t="n">
        <v>0</v>
      </c>
      <c r="I9" s="41">
        <f>SUM(E9:H9)</f>
        <v/>
      </c>
      <c r="J9" s="36" t="n">
        <v>0</v>
      </c>
      <c r="K9" s="41">
        <f>IF(OR(I9="",J9=""),"",I9-J9)</f>
        <v/>
      </c>
      <c r="L9" s="34" t="inlineStr"/>
      <c r="M9" s="34" t="inlineStr"/>
      <c r="N9" s="41">
        <f>IF(AND(L9&lt;&gt;"",M9&lt;&gt;""),L9-M9,"")</f>
        <v/>
      </c>
      <c r="O9" s="41">
        <f>IF(I9&lt;=SETTINGS!$B$3,"LOW","OK")</f>
        <v/>
      </c>
      <c r="P9" s="41">
        <f>MAX(0,SETTINGS!$B$4-E9)+MAX(0,SETTINGS!$B$4-F9)+MAX(0,SETTINGS!$B$4-G9)</f>
        <v/>
      </c>
      <c r="Q9" s="37" t="inlineStr"/>
    </row>
    <row r="10">
      <c r="A10" s="25" t="inlineStr">
        <is>
          <t>BEBE-006</t>
        </is>
      </c>
      <c r="B10" s="25" t="inlineStr">
        <is>
          <t>Sliced Cake</t>
        </is>
      </c>
      <c r="C10" s="25" t="inlineStr">
        <is>
          <t>Multicolor</t>
        </is>
      </c>
      <c r="D10" s="25" t="inlineStr"/>
      <c r="E10" s="34" t="n">
        <v>3</v>
      </c>
      <c r="F10" s="34" t="n">
        <v>0</v>
      </c>
      <c r="G10" s="34" t="n">
        <v>0</v>
      </c>
      <c r="H10" s="34" t="n">
        <v>0</v>
      </c>
      <c r="I10" s="41">
        <f>SUM(E10:H10)</f>
        <v/>
      </c>
      <c r="J10" s="36" t="n">
        <v>9</v>
      </c>
      <c r="K10" s="41">
        <f>IF(OR(I10="",J10=""),"",I10-J10)</f>
        <v/>
      </c>
      <c r="L10" s="34" t="inlineStr"/>
      <c r="M10" s="34" t="inlineStr"/>
      <c r="N10" s="41">
        <f>IF(AND(L10&lt;&gt;"",M10&lt;&gt;""),L10-M10,"")</f>
        <v/>
      </c>
      <c r="O10" s="41">
        <f>IF(I10&lt;=SETTINGS!$B$3,"LOW","OK")</f>
        <v/>
      </c>
      <c r="P10" s="41">
        <f>MAX(0,SETTINGS!$B$4-E10)+MAX(0,SETTINGS!$B$4-F10)+MAX(0,SETTINGS!$B$4-G10)</f>
        <v/>
      </c>
      <c r="Q10" s="37" t="inlineStr"/>
    </row>
    <row r="11">
      <c r="A11" s="25" t="inlineStr">
        <is>
          <t>BEBE-007</t>
        </is>
      </c>
      <c r="B11" s="25" t="inlineStr">
        <is>
          <t>Cinnamon Roll</t>
        </is>
      </c>
      <c r="C11" s="25" t="inlineStr">
        <is>
          <t>Brown/White</t>
        </is>
      </c>
      <c r="D11" s="25" t="inlineStr"/>
      <c r="E11" s="34" t="n">
        <v>2</v>
      </c>
      <c r="F11" s="34" t="n">
        <v>0</v>
      </c>
      <c r="G11" s="34" t="n">
        <v>1</v>
      </c>
      <c r="H11" s="34" t="n">
        <v>0</v>
      </c>
      <c r="I11" s="41">
        <f>SUM(E11:H11)</f>
        <v/>
      </c>
      <c r="J11" s="36" t="n">
        <v>6</v>
      </c>
      <c r="K11" s="41">
        <f>IF(OR(I11="",J11=""),"",I11-J11)</f>
        <v/>
      </c>
      <c r="L11" s="34" t="inlineStr"/>
      <c r="M11" s="34" t="inlineStr"/>
      <c r="N11" s="41">
        <f>IF(AND(L11&lt;&gt;"",M11&lt;&gt;""),L11-M11,"")</f>
        <v/>
      </c>
      <c r="O11" s="41">
        <f>IF(I11&lt;=SETTINGS!$B$3,"LOW","OK")</f>
        <v/>
      </c>
      <c r="P11" s="41">
        <f>MAX(0,SETTINGS!$B$4-E11)+MAX(0,SETTINGS!$B$4-F11)+MAX(0,SETTINGS!$B$4-G11)</f>
        <v/>
      </c>
      <c r="Q11" s="37" t="inlineStr"/>
    </row>
    <row r="12">
      <c r="A12" s="25" t="inlineStr">
        <is>
          <t>BEBE-008</t>
        </is>
      </c>
      <c r="B12" s="25" t="inlineStr">
        <is>
          <t>Classic Ice Cream Cone</t>
        </is>
      </c>
      <c r="C12" s="25" t="inlineStr">
        <is>
          <t>Vanilla</t>
        </is>
      </c>
      <c r="D12" s="25" t="inlineStr"/>
      <c r="E12" s="34" t="n">
        <v>0</v>
      </c>
      <c r="F12" s="34" t="n">
        <v>0</v>
      </c>
      <c r="G12" s="34" t="n">
        <v>1</v>
      </c>
      <c r="H12" s="34" t="n">
        <v>0</v>
      </c>
      <c r="I12" s="41">
        <f>SUM(E12:H12)</f>
        <v/>
      </c>
      <c r="J12" s="36" t="n">
        <v>1</v>
      </c>
      <c r="K12" s="41">
        <f>IF(OR(I12="",J12=""),"",I12-J12)</f>
        <v/>
      </c>
      <c r="L12" s="34" t="inlineStr"/>
      <c r="M12" s="34" t="inlineStr"/>
      <c r="N12" s="41">
        <f>IF(AND(L12&lt;&gt;"",M12&lt;&gt;""),L12-M12,"")</f>
        <v/>
      </c>
      <c r="O12" s="41">
        <f>IF(I12&lt;=SETTINGS!$B$3,"LOW","OK")</f>
        <v/>
      </c>
      <c r="P12" s="41">
        <f>MAX(0,SETTINGS!$B$4-E12)+MAX(0,SETTINGS!$B$4-F12)+MAX(0,SETTINGS!$B$4-G12)</f>
        <v/>
      </c>
      <c r="Q12" s="37" t="inlineStr"/>
    </row>
    <row r="13">
      <c r="A13" s="25" t="inlineStr">
        <is>
          <t>BEBE-009</t>
        </is>
      </c>
      <c r="B13" s="25" t="inlineStr">
        <is>
          <t>Classic Ice Cream Cone</t>
        </is>
      </c>
      <c r="C13" s="25" t="inlineStr">
        <is>
          <t>Strawberry</t>
        </is>
      </c>
      <c r="D13" s="25" t="inlineStr"/>
      <c r="E13" s="34" t="n">
        <v>0</v>
      </c>
      <c r="F13" s="34" t="n">
        <v>0</v>
      </c>
      <c r="G13" s="34" t="n">
        <v>0</v>
      </c>
      <c r="H13" s="34" t="n">
        <v>0</v>
      </c>
      <c r="I13" s="41">
        <f>SUM(E13:H13)</f>
        <v/>
      </c>
      <c r="J13" s="36" t="n">
        <v>0</v>
      </c>
      <c r="K13" s="41">
        <f>IF(OR(I13="",J13=""),"",I13-J13)</f>
        <v/>
      </c>
      <c r="L13" s="34" t="inlineStr"/>
      <c r="M13" s="34" t="inlineStr"/>
      <c r="N13" s="41">
        <f>IF(AND(L13&lt;&gt;"",M13&lt;&gt;""),L13-M13,"")</f>
        <v/>
      </c>
      <c r="O13" s="41">
        <f>IF(I13&lt;=SETTINGS!$B$3,"LOW","OK")</f>
        <v/>
      </c>
      <c r="P13" s="41">
        <f>MAX(0,SETTINGS!$B$4-E13)+MAX(0,SETTINGS!$B$4-F13)+MAX(0,SETTINGS!$B$4-G13)</f>
        <v/>
      </c>
      <c r="Q13" s="37" t="inlineStr"/>
    </row>
    <row r="14">
      <c r="A14" s="25" t="inlineStr">
        <is>
          <t>BEBE-010</t>
        </is>
      </c>
      <c r="B14" s="25" t="inlineStr">
        <is>
          <t>Classic Ice Cream Cone</t>
        </is>
      </c>
      <c r="C14" s="25" t="inlineStr">
        <is>
          <t>Chocolate</t>
        </is>
      </c>
      <c r="D14" s="25" t="inlineStr"/>
      <c r="E14" s="34" t="n">
        <v>1</v>
      </c>
      <c r="F14" s="34" t="n">
        <v>0</v>
      </c>
      <c r="G14" s="34" t="n">
        <v>0</v>
      </c>
      <c r="H14" s="34" t="n">
        <v>0</v>
      </c>
      <c r="I14" s="41">
        <f>SUM(E14:H14)</f>
        <v/>
      </c>
      <c r="J14" s="36" t="n">
        <v>1</v>
      </c>
      <c r="K14" s="41">
        <f>IF(OR(I14="",J14=""),"",I14-J14)</f>
        <v/>
      </c>
      <c r="L14" s="34" t="inlineStr"/>
      <c r="M14" s="34" t="inlineStr"/>
      <c r="N14" s="41">
        <f>IF(AND(L14&lt;&gt;"",M14&lt;&gt;""),L14-M14,"")</f>
        <v/>
      </c>
      <c r="O14" s="41">
        <f>IF(I14&lt;=SETTINGS!$B$3,"LOW","OK")</f>
        <v/>
      </c>
      <c r="P14" s="41">
        <f>MAX(0,SETTINGS!$B$4-E14)+MAX(0,SETTINGS!$B$4-F14)+MAX(0,SETTINGS!$B$4-G14)</f>
        <v/>
      </c>
      <c r="Q14" s="37" t="inlineStr"/>
    </row>
    <row r="15">
      <c r="A15" s="25" t="inlineStr">
        <is>
          <t>BEBE-011</t>
        </is>
      </c>
      <c r="B15" s="25" t="inlineStr">
        <is>
          <t>Cat Ice Create</t>
        </is>
      </c>
      <c r="C15" s="25" t="inlineStr">
        <is>
          <t>Strawberry</t>
        </is>
      </c>
      <c r="D15" s="25" t="inlineStr"/>
      <c r="E15" s="34" t="n">
        <v>3</v>
      </c>
      <c r="F15" s="34" t="n">
        <v>3</v>
      </c>
      <c r="G15" s="34" t="n">
        <v>3</v>
      </c>
      <c r="H15" s="34" t="n">
        <v>0</v>
      </c>
      <c r="I15" s="41">
        <f>SUM(E15:H15)</f>
        <v/>
      </c>
      <c r="J15" s="36" t="n">
        <v>8</v>
      </c>
      <c r="K15" s="41">
        <f>IF(OR(I15="",J15=""),"",I15-J15)</f>
        <v/>
      </c>
      <c r="L15" s="34" t="inlineStr"/>
      <c r="M15" s="34" t="inlineStr"/>
      <c r="N15" s="41">
        <f>IF(AND(L15&lt;&gt;"",M15&lt;&gt;""),L15-M15,"")</f>
        <v/>
      </c>
      <c r="O15" s="41">
        <f>IF(I15&lt;=SETTINGS!$B$3,"LOW","OK")</f>
        <v/>
      </c>
      <c r="P15" s="41">
        <f>MAX(0,SETTINGS!$B$4-E15)+MAX(0,SETTINGS!$B$4-F15)+MAX(0,SETTINGS!$B$4-G15)</f>
        <v/>
      </c>
      <c r="Q15" s="37" t="inlineStr"/>
    </row>
    <row r="16">
      <c r="A16" s="25" t="inlineStr">
        <is>
          <t>BEBE-012</t>
        </is>
      </c>
      <c r="B16" s="25" t="inlineStr">
        <is>
          <t>Cat Ice Create</t>
        </is>
      </c>
      <c r="C16" s="25" t="inlineStr">
        <is>
          <t>Chocolate</t>
        </is>
      </c>
      <c r="D16" s="25" t="inlineStr"/>
      <c r="E16" s="34" t="n">
        <v>3</v>
      </c>
      <c r="F16" s="34" t="n">
        <v>3</v>
      </c>
      <c r="G16" s="34" t="n">
        <v>3</v>
      </c>
      <c r="H16" s="34" t="n">
        <v>6</v>
      </c>
      <c r="I16" s="41">
        <f>SUM(E16:H16)</f>
        <v/>
      </c>
      <c r="J16" s="36" t="n">
        <v>12</v>
      </c>
      <c r="K16" s="41">
        <f>IF(OR(I16="",J16=""),"",I16-J16)</f>
        <v/>
      </c>
      <c r="L16" s="34" t="inlineStr"/>
      <c r="M16" s="34" t="inlineStr"/>
      <c r="N16" s="41">
        <f>IF(AND(L16&lt;&gt;"",M16&lt;&gt;""),L16-M16,"")</f>
        <v/>
      </c>
      <c r="O16" s="41">
        <f>IF(I16&lt;=SETTINGS!$B$3,"LOW","OK")</f>
        <v/>
      </c>
      <c r="P16" s="41">
        <f>MAX(0,SETTINGS!$B$4-E16)+MAX(0,SETTINGS!$B$4-F16)+MAX(0,SETTINGS!$B$4-G16)</f>
        <v/>
      </c>
      <c r="Q16" s="37" t="inlineStr"/>
    </row>
    <row r="17">
      <c r="A17" s="25" t="inlineStr">
        <is>
          <t>BEBE-013</t>
        </is>
      </c>
      <c r="B17" s="25" t="inlineStr">
        <is>
          <t>Double Scoop Ice Cream Cone</t>
        </is>
      </c>
      <c r="C17" s="25" t="inlineStr">
        <is>
          <t>Multicolor</t>
        </is>
      </c>
      <c r="D17" s="25" t="inlineStr"/>
      <c r="E17" s="34" t="n">
        <v>4</v>
      </c>
      <c r="F17" s="34" t="n">
        <v>4</v>
      </c>
      <c r="G17" s="34" t="n">
        <v>4</v>
      </c>
      <c r="H17" s="34" t="n">
        <v>20</v>
      </c>
      <c r="I17" s="41">
        <f>SUM(E17:H17)</f>
        <v/>
      </c>
      <c r="J17" s="36" t="n">
        <v>22</v>
      </c>
      <c r="K17" s="41">
        <f>IF(OR(I17="",J17=""),"",I17-J17)</f>
        <v/>
      </c>
      <c r="L17" s="34" t="inlineStr"/>
      <c r="M17" s="34" t="inlineStr"/>
      <c r="N17" s="41">
        <f>IF(AND(L17&lt;&gt;"",M17&lt;&gt;""),L17-M17,"")</f>
        <v/>
      </c>
      <c r="O17" s="41">
        <f>IF(I17&lt;=SETTINGS!$B$3,"LOW","OK")</f>
        <v/>
      </c>
      <c r="P17" s="41">
        <f>MAX(0,SETTINGS!$B$4-E17)+MAX(0,SETTINGS!$B$4-F17)+MAX(0,SETTINGS!$B$4-G17)</f>
        <v/>
      </c>
      <c r="Q17" s="37" t="inlineStr"/>
    </row>
    <row r="18">
      <c r="A18" s="25" t="inlineStr">
        <is>
          <t>BEBE-014</t>
        </is>
      </c>
      <c r="B18" s="25" t="inlineStr">
        <is>
          <t>Ice Gem Assorted</t>
        </is>
      </c>
      <c r="C18" s="25" t="inlineStr">
        <is>
          <t>Multicolor</t>
        </is>
      </c>
      <c r="D18" s="25" t="inlineStr"/>
      <c r="E18" s="34" t="n">
        <v>1</v>
      </c>
      <c r="F18" s="34" t="n">
        <v>1</v>
      </c>
      <c r="G18" s="34" t="n">
        <v>0</v>
      </c>
      <c r="H18" s="34" t="n">
        <v>0</v>
      </c>
      <c r="I18" s="41">
        <f>SUM(E18:H18)</f>
        <v/>
      </c>
      <c r="J18" s="36" t="n">
        <v>2</v>
      </c>
      <c r="K18" s="41">
        <f>IF(OR(I18="",J18=""),"",I18-J18)</f>
        <v/>
      </c>
      <c r="L18" s="34" t="inlineStr"/>
      <c r="M18" s="34" t="inlineStr"/>
      <c r="N18" s="41">
        <f>IF(AND(L18&lt;&gt;"",M18&lt;&gt;""),L18-M18,"")</f>
        <v/>
      </c>
      <c r="O18" s="41">
        <f>IF(I18&lt;=SETTINGS!$B$3,"LOW","OK")</f>
        <v/>
      </c>
      <c r="P18" s="41">
        <f>MAX(0,SETTINGS!$B$4-E18)+MAX(0,SETTINGS!$B$4-F18)+MAX(0,SETTINGS!$B$4-G18)</f>
        <v/>
      </c>
      <c r="Q18" s="37" t="inlineStr"/>
    </row>
    <row r="19">
      <c r="A19" s="25" t="inlineStr">
        <is>
          <t>BEBE-015</t>
        </is>
      </c>
      <c r="B19" s="25" t="inlineStr">
        <is>
          <t>Ferrero</t>
        </is>
      </c>
      <c r="C19" s="25" t="inlineStr">
        <is>
          <t>Multicolor</t>
        </is>
      </c>
      <c r="D19" s="25" t="inlineStr"/>
      <c r="E19" s="34" t="n">
        <v>8</v>
      </c>
      <c r="F19" s="34" t="n">
        <v>8</v>
      </c>
      <c r="G19" s="34" t="n">
        <v>8</v>
      </c>
      <c r="H19" s="34" t="n">
        <v>12</v>
      </c>
      <c r="I19" s="41">
        <f>SUM(E19:H19)</f>
        <v/>
      </c>
      <c r="J19" s="36" t="n">
        <v>30</v>
      </c>
      <c r="K19" s="41">
        <f>IF(OR(I19="",J19=""),"",I19-J19)</f>
        <v/>
      </c>
      <c r="L19" s="34" t="inlineStr"/>
      <c r="M19" s="34" t="inlineStr"/>
      <c r="N19" s="41">
        <f>IF(AND(L19&lt;&gt;"",M19&lt;&gt;""),L19-M19,"")</f>
        <v/>
      </c>
      <c r="O19" s="41">
        <f>IF(I19&lt;=SETTINGS!$B$3,"LOW","OK")</f>
        <v/>
      </c>
      <c r="P19" s="41">
        <f>MAX(0,SETTINGS!$B$4-E19)+MAX(0,SETTINGS!$B$4-F19)+MAX(0,SETTINGS!$B$4-G19)</f>
        <v/>
      </c>
      <c r="Q19" s="37" t="inlineStr"/>
    </row>
    <row r="20">
      <c r="A20" s="25" t="inlineStr">
        <is>
          <t>BEBE-016</t>
        </is>
      </c>
      <c r="B20" s="25" t="inlineStr">
        <is>
          <t>Coffee Cup</t>
        </is>
      </c>
      <c r="C20" s="25" t="inlineStr">
        <is>
          <t>Multicolor</t>
        </is>
      </c>
      <c r="D20" s="25" t="inlineStr"/>
      <c r="E20" s="34" t="n">
        <v>4</v>
      </c>
      <c r="F20" s="34" t="n">
        <v>4</v>
      </c>
      <c r="G20" s="34" t="n">
        <v>4</v>
      </c>
      <c r="H20" s="34" t="n">
        <v>31</v>
      </c>
      <c r="I20" s="41">
        <f>SUM(E20:H20)</f>
        <v/>
      </c>
      <c r="J20" s="36" t="n">
        <v>31</v>
      </c>
      <c r="K20" s="41">
        <f>IF(OR(I20="",J20=""),"",I20-J20)</f>
        <v/>
      </c>
      <c r="L20" s="34" t="inlineStr"/>
      <c r="M20" s="34" t="inlineStr"/>
      <c r="N20" s="41">
        <f>IF(AND(L20&lt;&gt;"",M20&lt;&gt;""),L20-M20,"")</f>
        <v/>
      </c>
      <c r="O20" s="41">
        <f>IF(I20&lt;=SETTINGS!$B$3,"LOW","OK")</f>
        <v/>
      </c>
      <c r="P20" s="41">
        <f>MAX(0,SETTINGS!$B$4-E20)+MAX(0,SETTINGS!$B$4-F20)+MAX(0,SETTINGS!$B$4-G20)</f>
        <v/>
      </c>
      <c r="Q20" s="37" t="inlineStr"/>
    </row>
    <row r="21" ht="15.75" customHeight="1" s="45">
      <c r="A21" s="25" t="inlineStr">
        <is>
          <t>BEBE-017</t>
        </is>
      </c>
      <c r="B21" s="25" t="inlineStr">
        <is>
          <t>Matcha Latte</t>
        </is>
      </c>
      <c r="C21" s="25" t="inlineStr">
        <is>
          <t>Multicolor</t>
        </is>
      </c>
      <c r="D21" s="25" t="inlineStr"/>
      <c r="E21" s="34" t="n">
        <v>3</v>
      </c>
      <c r="F21" s="34" t="n">
        <v>3</v>
      </c>
      <c r="G21" s="34" t="n">
        <v>3</v>
      </c>
      <c r="H21" s="34" t="n">
        <v>12</v>
      </c>
      <c r="I21" s="41">
        <f>SUM(E21:H21)</f>
        <v/>
      </c>
      <c r="J21" s="36" t="n">
        <v>15</v>
      </c>
      <c r="K21" s="41">
        <f>IF(OR(I21="",J21=""),"",I21-J21)</f>
        <v/>
      </c>
      <c r="L21" s="34" t="inlineStr"/>
      <c r="M21" s="34" t="inlineStr"/>
      <c r="N21" s="41">
        <f>IF(AND(L21&lt;&gt;"",M21&lt;&gt;""),L21-M21,"")</f>
        <v/>
      </c>
      <c r="O21" s="41">
        <f>IF(I21&lt;=SETTINGS!$B$3,"LOW","OK")</f>
        <v/>
      </c>
      <c r="P21" s="41">
        <f>MAX(0,SETTINGS!$B$4-E21)+MAX(0,SETTINGS!$B$4-F21)+MAX(0,SETTINGS!$B$4-G21)</f>
        <v/>
      </c>
      <c r="Q21" s="37" t="inlineStr"/>
    </row>
    <row r="22" ht="15.75" customHeight="1" s="45">
      <c r="A22" s="25" t="inlineStr">
        <is>
          <t>BEBE-018</t>
        </is>
      </c>
      <c r="B22" s="25" t="inlineStr">
        <is>
          <t>Coffee Latte</t>
        </is>
      </c>
      <c r="C22" s="25" t="inlineStr">
        <is>
          <t>Black Brown</t>
        </is>
      </c>
      <c r="D22" s="25" t="inlineStr"/>
      <c r="E22" s="34" t="n">
        <v>4</v>
      </c>
      <c r="F22" s="34" t="n">
        <v>4</v>
      </c>
      <c r="G22" s="34" t="n">
        <v>5</v>
      </c>
      <c r="H22" s="34" t="n">
        <v>20</v>
      </c>
      <c r="I22" s="41">
        <f>SUM(E22:H22)</f>
        <v/>
      </c>
      <c r="J22" s="36" t="n">
        <v>22</v>
      </c>
      <c r="K22" s="41">
        <f>IF(OR(I22="",J22=""),"",I22-J22)</f>
        <v/>
      </c>
      <c r="L22" s="34" t="inlineStr"/>
      <c r="M22" s="34" t="inlineStr"/>
      <c r="N22" s="41">
        <f>IF(AND(L22&lt;&gt;"",M22&lt;&gt;""),L22-M22,"")</f>
        <v/>
      </c>
      <c r="O22" s="41">
        <f>IF(I22&lt;=SETTINGS!$B$3,"LOW","OK")</f>
        <v/>
      </c>
      <c r="P22" s="41">
        <f>MAX(0,SETTINGS!$B$4-E22)+MAX(0,SETTINGS!$B$4-F22)+MAX(0,SETTINGS!$B$4-G22)</f>
        <v/>
      </c>
      <c r="Q22" s="37" t="inlineStr"/>
    </row>
    <row r="23" ht="15.75" customHeight="1" s="45">
      <c r="A23" s="25" t="inlineStr">
        <is>
          <t>BEBE-019</t>
        </is>
      </c>
      <c r="B23" s="25" t="inlineStr">
        <is>
          <t>Chocolate Drink/Java Chip</t>
        </is>
      </c>
      <c r="C23" s="25" t="inlineStr">
        <is>
          <t>Red</t>
        </is>
      </c>
      <c r="D23" s="25" t="inlineStr"/>
      <c r="E23" s="34" t="n">
        <v>4</v>
      </c>
      <c r="F23" s="34" t="n">
        <v>3</v>
      </c>
      <c r="G23" s="34" t="n">
        <v>1</v>
      </c>
      <c r="H23" s="34" t="n">
        <v>0</v>
      </c>
      <c r="I23" s="41">
        <f>SUM(E23:H23)</f>
        <v/>
      </c>
      <c r="J23" s="36" t="n">
        <v>8</v>
      </c>
      <c r="K23" s="41">
        <f>IF(OR(I23="",J23=""),"",I23-J23)</f>
        <v/>
      </c>
      <c r="L23" s="34" t="inlineStr"/>
      <c r="M23" s="34" t="inlineStr"/>
      <c r="N23" s="41">
        <f>IF(AND(L23&lt;&gt;"",M23&lt;&gt;""),L23-M23,"")</f>
        <v/>
      </c>
      <c r="O23" s="41">
        <f>IF(I23&lt;=SETTINGS!$B$3,"LOW","OK")</f>
        <v/>
      </c>
      <c r="P23" s="41">
        <f>MAX(0,SETTINGS!$B$4-E23)+MAX(0,SETTINGS!$B$4-F23)+MAX(0,SETTINGS!$B$4-G23)</f>
        <v/>
      </c>
      <c r="Q23" s="37" t="inlineStr"/>
    </row>
    <row r="24" ht="15.75" customHeight="1" s="45">
      <c r="A24" s="25" t="inlineStr">
        <is>
          <t>BEBE-020</t>
        </is>
      </c>
      <c r="B24" s="25" t="inlineStr">
        <is>
          <t>Chocolate Drink/Java Chip</t>
        </is>
      </c>
      <c r="C24" s="25" t="inlineStr">
        <is>
          <t>Green</t>
        </is>
      </c>
      <c r="D24" s="25" t="inlineStr"/>
      <c r="E24" s="34" t="n">
        <v>3</v>
      </c>
      <c r="F24" s="34" t="n">
        <v>3</v>
      </c>
      <c r="G24" s="34" t="n">
        <v>3</v>
      </c>
      <c r="H24" s="34" t="n">
        <v>0</v>
      </c>
      <c r="I24" s="41">
        <f>SUM(E24:H24)</f>
        <v/>
      </c>
      <c r="J24" s="36" t="n">
        <v>9</v>
      </c>
      <c r="K24" s="41">
        <f>IF(OR(I24="",J24=""),"",I24-J24)</f>
        <v/>
      </c>
      <c r="L24" s="34" t="inlineStr"/>
      <c r="M24" s="34" t="inlineStr"/>
      <c r="N24" s="41">
        <f>IF(AND(L24&lt;&gt;"",M24&lt;&gt;""),L24-M24,"")</f>
        <v/>
      </c>
      <c r="O24" s="41">
        <f>IF(I24&lt;=SETTINGS!$B$3,"LOW","OK")</f>
        <v/>
      </c>
      <c r="P24" s="41">
        <f>MAX(0,SETTINGS!$B$4-E24)+MAX(0,SETTINGS!$B$4-F24)+MAX(0,SETTINGS!$B$4-G24)</f>
        <v/>
      </c>
      <c r="Q24" s="37" t="inlineStr"/>
    </row>
    <row r="25" ht="15.75" customHeight="1" s="45">
      <c r="A25" s="25" t="inlineStr">
        <is>
          <t>BEBE-021</t>
        </is>
      </c>
      <c r="B25" s="25" t="inlineStr">
        <is>
          <t>Pancake</t>
        </is>
      </c>
      <c r="C25" s="25" t="inlineStr">
        <is>
          <t>Multicolor</t>
        </is>
      </c>
      <c r="D25" s="25" t="inlineStr"/>
      <c r="E25" s="34" t="n">
        <v>1</v>
      </c>
      <c r="F25" s="34" t="n">
        <v>1</v>
      </c>
      <c r="G25" s="34" t="n">
        <v>1</v>
      </c>
      <c r="H25" s="34" t="n">
        <v>0</v>
      </c>
      <c r="I25" s="41">
        <f>SUM(E25:H25)</f>
        <v/>
      </c>
      <c r="J25" s="36" t="n">
        <v>3</v>
      </c>
      <c r="K25" s="41">
        <f>IF(OR(I25="",J25=""),"",I25-J25)</f>
        <v/>
      </c>
      <c r="L25" s="34" t="inlineStr"/>
      <c r="M25" s="34" t="inlineStr"/>
      <c r="N25" s="41">
        <f>IF(AND(L25&lt;&gt;"",M25&lt;&gt;""),L25-M25,"")</f>
        <v/>
      </c>
      <c r="O25" s="41">
        <f>IF(I25&lt;=SETTINGS!$B$3,"LOW","OK")</f>
        <v/>
      </c>
      <c r="P25" s="41">
        <f>MAX(0,SETTINGS!$B$4-E25)+MAX(0,SETTINGS!$B$4-F25)+MAX(0,SETTINGS!$B$4-G25)</f>
        <v/>
      </c>
      <c r="Q25" s="37" t="inlineStr"/>
    </row>
    <row r="26" ht="15.75" customHeight="1" s="45">
      <c r="A26" s="25" t="inlineStr">
        <is>
          <t>BEBE-022</t>
        </is>
      </c>
      <c r="B26" s="25" t="inlineStr">
        <is>
          <t>Strawberry Choco Dip</t>
        </is>
      </c>
      <c r="C26" s="25" t="inlineStr">
        <is>
          <t>Multicolor</t>
        </is>
      </c>
      <c r="D26" s="25" t="inlineStr"/>
      <c r="E26" s="34" t="n">
        <v>3</v>
      </c>
      <c r="F26" s="34" t="n">
        <v>4</v>
      </c>
      <c r="G26" s="34" t="n">
        <v>4</v>
      </c>
      <c r="H26" s="34" t="n">
        <v>0</v>
      </c>
      <c r="I26" s="41">
        <f>SUM(E26:H26)</f>
        <v/>
      </c>
      <c r="J26" s="36" t="n">
        <v>11</v>
      </c>
      <c r="K26" s="41">
        <f>IF(OR(I26="",J26=""),"",I26-J26)</f>
        <v/>
      </c>
      <c r="L26" s="34" t="inlineStr"/>
      <c r="M26" s="34" t="inlineStr"/>
      <c r="N26" s="41">
        <f>IF(AND(L26&lt;&gt;"",M26&lt;&gt;""),L26-M26,"")</f>
        <v/>
      </c>
      <c r="O26" s="41">
        <f>IF(I26&lt;=SETTINGS!$B$3,"LOW","OK")</f>
        <v/>
      </c>
      <c r="P26" s="41">
        <f>MAX(0,SETTINGS!$B$4-E26)+MAX(0,SETTINGS!$B$4-F26)+MAX(0,SETTINGS!$B$4-G26)</f>
        <v/>
      </c>
      <c r="Q26" s="37" t="inlineStr"/>
    </row>
    <row r="27" ht="15.75" customHeight="1" s="45">
      <c r="A27" s="25" t="inlineStr">
        <is>
          <t>BEBE-023</t>
        </is>
      </c>
      <c r="B27" s="25" t="inlineStr">
        <is>
          <t>Matcha Whisk Black</t>
        </is>
      </c>
      <c r="C27" s="25" t="inlineStr"/>
      <c r="D27" s="25" t="inlineStr"/>
      <c r="E27" s="34" t="n">
        <v>4</v>
      </c>
      <c r="F27" s="34" t="n">
        <v>4</v>
      </c>
      <c r="G27" s="34" t="n">
        <v>5</v>
      </c>
      <c r="H27" s="34" t="n">
        <v>38</v>
      </c>
      <c r="I27" s="41">
        <f>SUM(E27:H27)</f>
        <v/>
      </c>
      <c r="J27" s="36" t="n">
        <v>31</v>
      </c>
      <c r="K27" s="41">
        <f>IF(OR(I27="",J27=""),"",I27-J27)</f>
        <v/>
      </c>
      <c r="L27" s="34" t="inlineStr"/>
      <c r="M27" s="34" t="inlineStr"/>
      <c r="N27" s="41">
        <f>IF(AND(L27&lt;&gt;"",M27&lt;&gt;""),L27-M27,"")</f>
        <v/>
      </c>
      <c r="O27" s="41">
        <f>IF(I27&lt;=SETTINGS!$B$3,"LOW","OK")</f>
        <v/>
      </c>
      <c r="P27" s="41">
        <f>MAX(0,SETTINGS!$B$4-E27)+MAX(0,SETTINGS!$B$4-F27)+MAX(0,SETTINGS!$B$4-G27)</f>
        <v/>
      </c>
      <c r="Q27" s="37" t="inlineStr"/>
    </row>
    <row r="28" ht="15.75" customHeight="1" s="45">
      <c r="A28" s="25" t="inlineStr">
        <is>
          <t>BEBE-024</t>
        </is>
      </c>
      <c r="B28" s="25" t="inlineStr">
        <is>
          <t>Matcha Whisk Gray</t>
        </is>
      </c>
      <c r="C28" s="25" t="inlineStr"/>
      <c r="D28" s="25" t="inlineStr"/>
      <c r="E28" s="34" t="n">
        <v>4</v>
      </c>
      <c r="F28" s="34" t="n">
        <v>4</v>
      </c>
      <c r="G28" s="34" t="n">
        <v>3</v>
      </c>
      <c r="H28" s="34" t="n">
        <v>32</v>
      </c>
      <c r="I28" s="41">
        <f>SUM(E28:H28)</f>
        <v/>
      </c>
      <c r="J28" s="36" t="n">
        <v>30</v>
      </c>
      <c r="K28" s="41">
        <f>IF(OR(I28="",J28=""),"",I28-J28)</f>
        <v/>
      </c>
      <c r="L28" s="34" t="inlineStr"/>
      <c r="M28" s="34" t="inlineStr"/>
      <c r="N28" s="41">
        <f>IF(AND(L28&lt;&gt;"",M28&lt;&gt;""),L28-M28,"")</f>
        <v/>
      </c>
      <c r="O28" s="41">
        <f>IF(I28&lt;=SETTINGS!$B$3,"LOW","OK")</f>
        <v/>
      </c>
      <c r="P28" s="41">
        <f>MAX(0,SETTINGS!$B$4-E28)+MAX(0,SETTINGS!$B$4-F28)+MAX(0,SETTINGS!$B$4-G28)</f>
        <v/>
      </c>
      <c r="Q28" s="37" t="inlineStr"/>
    </row>
    <row r="29" ht="15.75" customHeight="1" s="45">
      <c r="A29" s="25" t="inlineStr">
        <is>
          <t>BEBE-025</t>
        </is>
      </c>
      <c r="B29" s="25" t="inlineStr">
        <is>
          <t>Dubai Chewy Cookie</t>
        </is>
      </c>
      <c r="C29" s="25" t="inlineStr"/>
      <c r="D29" s="25" t="inlineStr"/>
      <c r="E29" s="34" t="n">
        <v>6</v>
      </c>
      <c r="F29" s="34" t="n">
        <v>6</v>
      </c>
      <c r="G29" s="34" t="n">
        <v>6</v>
      </c>
      <c r="H29" s="34" t="n">
        <v>30</v>
      </c>
      <c r="I29" s="41">
        <f>SUM(E29:H29)</f>
        <v/>
      </c>
      <c r="J29" s="36" t="n">
        <v>33</v>
      </c>
      <c r="K29" s="41">
        <f>IF(OR(I29="",J29=""),"",I29-J29)</f>
        <v/>
      </c>
      <c r="L29" s="34" t="inlineStr"/>
      <c r="M29" s="34" t="inlineStr"/>
      <c r="N29" s="41">
        <f>IF(AND(L29&lt;&gt;"",M29&lt;&gt;""),L29-M29,"")</f>
        <v/>
      </c>
      <c r="O29" s="41">
        <f>IF(I29&lt;=SETTINGS!$B$3,"LOW","OK")</f>
        <v/>
      </c>
      <c r="P29" s="41">
        <f>MAX(0,SETTINGS!$B$4-E29)+MAX(0,SETTINGS!$B$4-F29)+MAX(0,SETTINGS!$B$4-G29)</f>
        <v/>
      </c>
      <c r="Q29" s="37" t="inlineStr"/>
    </row>
    <row r="30" ht="15.75" customHeight="1" s="45">
      <c r="A30" s="25" t="inlineStr">
        <is>
          <t>BEBE-026</t>
        </is>
      </c>
      <c r="B30" s="25" t="inlineStr">
        <is>
          <t>Matcha Whisk Marble</t>
        </is>
      </c>
      <c r="C30" s="25" t="inlineStr"/>
      <c r="D30" s="25" t="inlineStr"/>
      <c r="E30" s="44" t="n">
        <v>0</v>
      </c>
      <c r="F30" s="44" t="n">
        <v>0</v>
      </c>
      <c r="G30" s="44" t="n">
        <v>0</v>
      </c>
      <c r="H30" s="44" t="n">
        <v>0</v>
      </c>
      <c r="I30" s="44">
        <f>SUM(E30:H30)</f>
        <v/>
      </c>
      <c r="J30" s="44" t="n">
        <v>0</v>
      </c>
      <c r="K30" s="44">
        <f>IF(OR(I30="",J30=""),"",I30-J30)</f>
        <v/>
      </c>
      <c r="L30" s="44" t="inlineStr"/>
      <c r="M30" s="44" t="inlineStr"/>
      <c r="N30" s="44">
        <f>IF(AND(L30&lt;&gt;"",M30&lt;&gt;""),L30-M30,"")</f>
        <v/>
      </c>
      <c r="O30" s="44" t="n"/>
      <c r="P30" s="44" t="n"/>
      <c r="Q30" s="25" t="n"/>
    </row>
    <row r="31" ht="15.75" customHeight="1" s="45">
      <c r="A31" s="38" t="inlineStr">
        <is>
          <t>Category Totals</t>
        </is>
      </c>
      <c r="B31" s="39" t="inlineStr">
        <is>
          <t>Total Counted</t>
        </is>
      </c>
      <c r="C31" s="40">
        <f>SUM(I5:I31)</f>
        <v/>
      </c>
      <c r="D31" s="39" t="inlineStr">
        <is>
          <t>Original Inventory</t>
        </is>
      </c>
      <c r="E31" s="41">
        <f>SUM(J5:J31)</f>
        <v/>
      </c>
      <c r="F31" s="42" t="inlineStr">
        <is>
          <t>Variance</t>
        </is>
      </c>
      <c r="G31" s="41">
        <f>SUM(K5:K31)</f>
        <v/>
      </c>
      <c r="H31" s="42" t="inlineStr">
        <is>
          <t>Sold Today</t>
        </is>
      </c>
      <c r="I31" s="41">
        <f>SUM(N5:N31)</f>
        <v/>
      </c>
      <c r="J31" s="42" t="inlineStr">
        <is>
          <t>Low Stock SKUs</t>
        </is>
      </c>
      <c r="K31" s="43">
        <f>COUNTIF(O5:O31,"LOW")</f>
        <v/>
      </c>
      <c r="L31" s="42" t="inlineStr">
        <is>
          <t>Refill Needed</t>
        </is>
      </c>
      <c r="M31" s="41">
        <f>SUM(P5:P31)</f>
        <v/>
      </c>
      <c r="N31" s="44" t="n"/>
      <c r="O31" s="44" t="n"/>
      <c r="P31" s="44" t="n"/>
      <c r="Q31" s="25" t="n"/>
    </row>
    <row r="32" ht="15.75" customHeight="1" s="45"/>
    <row r="33" ht="15.75" customHeight="1" s="45"/>
    <row r="34" ht="15.75" customHeight="1" s="45"/>
    <row r="35" ht="15.75" customHeight="1" s="45"/>
    <row r="36" ht="15.75" customHeight="1" s="45"/>
    <row r="37" ht="15.75" customHeight="1" s="45"/>
    <row r="38" ht="15.75" customHeight="1" s="45"/>
    <row r="39" ht="15.75" customHeight="1" s="45"/>
    <row r="40" ht="15.75" customHeight="1" s="45"/>
    <row r="41" ht="15.75" customHeight="1" s="45"/>
    <row r="42" ht="15.75" customHeight="1" s="45"/>
    <row r="43" ht="15.75" customHeight="1" s="45"/>
    <row r="44" ht="15.75" customHeight="1" s="45"/>
    <row r="45" ht="15.75" customHeight="1" s="45"/>
    <row r="46" ht="15.75" customHeight="1" s="45"/>
    <row r="47" ht="15.75" customHeight="1" s="45"/>
    <row r="48" ht="15.75" customHeight="1" s="45"/>
    <row r="49" ht="15.75" customHeight="1" s="45"/>
    <row r="50" ht="15.75" customHeight="1" s="45"/>
    <row r="51" ht="15.75" customHeight="1" s="45"/>
    <row r="52" ht="15.75" customHeight="1" s="45"/>
    <row r="53" ht="15.75" customHeight="1" s="45"/>
    <row r="54" ht="15.75" customHeight="1" s="45"/>
    <row r="55" ht="15.75" customHeight="1" s="45"/>
    <row r="56" ht="15.75" customHeight="1" s="45"/>
    <row r="57" ht="15.75" customHeight="1" s="45"/>
    <row r="58" ht="15.75" customHeight="1" s="45"/>
    <row r="59" ht="15.75" customHeight="1" s="45"/>
    <row r="60" ht="15.75" customHeight="1" s="45"/>
    <row r="61" ht="15.75" customHeight="1" s="45"/>
    <row r="62" ht="15.75" customHeight="1" s="45"/>
    <row r="63" ht="15.75" customHeight="1" s="45"/>
    <row r="64" ht="15.75" customHeight="1" s="45"/>
    <row r="65" ht="15.75" customHeight="1" s="45"/>
    <row r="66" ht="15.75" customHeight="1" s="45"/>
    <row r="67" ht="15.75" customHeight="1" s="45"/>
    <row r="68" ht="15.75" customHeight="1" s="45"/>
    <row r="69" ht="15.75" customHeight="1" s="45"/>
    <row r="70" ht="15.75" customHeight="1" s="45"/>
    <row r="71" ht="15.75" customHeight="1" s="45"/>
    <row r="72" ht="15.75" customHeight="1" s="45"/>
    <row r="73" ht="15.75" customHeight="1" s="45"/>
    <row r="74" ht="15.75" customHeight="1" s="45"/>
    <row r="75" ht="15.75" customHeight="1" s="45"/>
    <row r="76" ht="15.75" customHeight="1" s="45"/>
    <row r="77" ht="15.75" customHeight="1" s="45"/>
    <row r="78" ht="15.75" customHeight="1" s="45"/>
    <row r="79" ht="15.75" customHeight="1" s="45"/>
    <row r="80" ht="15.75" customHeight="1" s="45"/>
    <row r="81" ht="15.75" customHeight="1" s="45"/>
    <row r="82" ht="15.75" customHeight="1" s="45"/>
    <row r="83" ht="15.75" customHeight="1" s="45"/>
    <row r="84" ht="15.75" customHeight="1" s="45"/>
    <row r="85" ht="15.75" customHeight="1" s="45"/>
    <row r="86" ht="15.75" customHeight="1" s="45"/>
    <row r="87" ht="15.75" customHeight="1" s="45"/>
    <row r="88" ht="15.75" customHeight="1" s="45"/>
    <row r="89" ht="15.75" customHeight="1" s="45"/>
    <row r="90" ht="15.75" customHeight="1" s="45"/>
    <row r="91" ht="15.75" customHeight="1" s="45"/>
    <row r="92" ht="15.75" customHeight="1" s="45"/>
    <row r="93" ht="15.75" customHeight="1" s="45"/>
    <row r="94" ht="15.75" customHeight="1" s="45"/>
    <row r="95" ht="15.75" customHeight="1" s="45"/>
    <row r="96" ht="15.75" customHeight="1" s="45"/>
    <row r="97" ht="15.75" customHeight="1" s="45"/>
    <row r="98" ht="15.75" customHeight="1" s="45"/>
    <row r="99" ht="15.75" customHeight="1" s="45"/>
    <row r="100" ht="15.75" customHeight="1" s="45"/>
    <row r="101" ht="15.75" customHeight="1" s="45"/>
    <row r="102" ht="15.75" customHeight="1" s="45"/>
    <row r="103" ht="15.75" customHeight="1" s="45"/>
    <row r="104" ht="15.75" customHeight="1" s="45"/>
    <row r="105" ht="15.75" customHeight="1" s="45"/>
    <row r="106" ht="15.75" customHeight="1" s="45"/>
    <row r="107" ht="15.75" customHeight="1" s="45"/>
    <row r="108" ht="15.75" customHeight="1" s="45"/>
    <row r="109" ht="15.75" customHeight="1" s="45"/>
    <row r="110" ht="15.75" customHeight="1" s="45"/>
    <row r="111" ht="15.75" customHeight="1" s="45"/>
    <row r="112" ht="15.75" customHeight="1" s="45"/>
    <row r="113" ht="15.75" customHeight="1" s="45"/>
    <row r="114" ht="15.75" customHeight="1" s="45"/>
    <row r="115" ht="15.75" customHeight="1" s="45"/>
    <row r="116" ht="15.75" customHeight="1" s="45"/>
    <row r="117" ht="15.75" customHeight="1" s="45"/>
    <row r="118" ht="15.75" customHeight="1" s="45"/>
    <row r="119" ht="15.75" customHeight="1" s="45"/>
    <row r="120" ht="15.75" customHeight="1" s="45"/>
    <row r="121" ht="15.75" customHeight="1" s="45"/>
    <row r="122" ht="15.75" customHeight="1" s="45"/>
    <row r="123" ht="15.75" customHeight="1" s="45"/>
    <row r="124" ht="15.75" customHeight="1" s="45"/>
    <row r="125" ht="15.75" customHeight="1" s="45"/>
    <row r="126" ht="15.75" customHeight="1" s="45"/>
    <row r="127" ht="15.75" customHeight="1" s="45"/>
    <row r="128" ht="15.75" customHeight="1" s="45"/>
    <row r="129" ht="15.75" customHeight="1" s="45"/>
    <row r="130" ht="15.75" customHeight="1" s="45"/>
    <row r="131" ht="15.75" customHeight="1" s="45"/>
    <row r="132" ht="15.75" customHeight="1" s="45"/>
    <row r="133" ht="15.75" customHeight="1" s="45"/>
    <row r="134" ht="15.75" customHeight="1" s="45"/>
    <row r="135" ht="15.75" customHeight="1" s="45"/>
    <row r="136" ht="15.75" customHeight="1" s="45"/>
    <row r="137" ht="15.75" customHeight="1" s="45"/>
    <row r="138" ht="15.75" customHeight="1" s="45"/>
    <row r="139" ht="15.75" customHeight="1" s="45"/>
    <row r="140" ht="15.75" customHeight="1" s="45"/>
    <row r="141" ht="15.75" customHeight="1" s="45"/>
    <row r="142" ht="15.75" customHeight="1" s="45"/>
    <row r="143" ht="15.75" customHeight="1" s="45"/>
    <row r="144" ht="15.75" customHeight="1" s="45"/>
    <row r="145" ht="15.75" customHeight="1" s="45"/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2">
    <mergeCell ref="A2:Q2"/>
    <mergeCell ref="A1:Q1"/>
  </mergeCells>
  <conditionalFormatting sqref="O5:O29">
    <cfRule type="expression" priority="1" dxfId="4">
      <formula>$O5="LOW"</formula>
    </cfRule>
  </conditionalFormatting>
  <conditionalFormatting sqref="K5:K29">
    <cfRule type="cellIs" priority="2" operator="lessThan" dxfId="5">
      <formula>0</formula>
    </cfRule>
  </conditionalFormatting>
  <conditionalFormatting sqref="N5:N29">
    <cfRule type="cellIs" priority="3" operator="greaterThan" dxfId="6">
      <formula>0</formula>
    </cfRule>
  </conditionalFormatting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R31"/>
  <sheetViews>
    <sheetView showGridLines="0" workbookViewId="0">
      <selection activeCell="A1" sqref="A1"/>
    </sheetView>
  </sheetViews>
  <sheetFormatPr baseColWidth="8" defaultColWidth="14.43" defaultRowHeight="15" customHeight="1"/>
  <cols>
    <col width="12" customWidth="1" style="45" min="1" max="1"/>
    <col width="22" customWidth="1" style="45" min="2" max="2"/>
    <col width="20" customWidth="1" style="45" min="3" max="3"/>
    <col width="16" customWidth="1" style="45" min="4" max="4"/>
    <col width="10" customWidth="1" style="45" min="5" max="7"/>
    <col width="12" customWidth="1" style="45" min="8" max="9"/>
    <col width="14" customWidth="1" style="45" min="10" max="11"/>
    <col width="11" customWidth="1" style="45" min="12" max="14"/>
    <col width="10" customWidth="1" style="45" min="15" max="15"/>
    <col width="12" customWidth="1" style="45" min="16" max="16"/>
    <col width="18" customWidth="1" style="45" min="17" max="17"/>
    <col width="8.710000000000001" customWidth="1" style="45" min="18" max="26"/>
  </cols>
  <sheetData>
    <row r="1">
      <c r="A1" s="46" t="inlineStr">
        <is>
          <t>BEBENTO Inventory</t>
        </is>
      </c>
    </row>
    <row r="2">
      <c r="A2" s="49" t="inlineStr">
        <is>
          <t>Update blue cells only. Everything else updates automatically.</t>
        </is>
      </c>
    </row>
    <row r="3">
      <c r="A3" s="25" t="n"/>
      <c r="B3" s="25" t="n"/>
      <c r="C3" s="25" t="n"/>
      <c r="D3" s="25" t="n"/>
      <c r="E3" s="44" t="n"/>
      <c r="F3" s="44" t="n"/>
      <c r="G3" s="44" t="n"/>
      <c r="H3" s="44" t="n"/>
      <c r="I3" s="44" t="n"/>
      <c r="J3" s="44" t="n"/>
      <c r="K3" s="44" t="n"/>
      <c r="L3" s="44" t="n"/>
      <c r="M3" s="44" t="n"/>
      <c r="N3" s="44" t="n"/>
      <c r="O3" s="44" t="n"/>
      <c r="P3" s="44" t="n"/>
      <c r="Q3" s="25" t="n"/>
    </row>
    <row r="4">
      <c r="A4" s="22" t="inlineStr">
        <is>
          <t>SKU</t>
        </is>
      </c>
      <c r="B4" s="22" t="inlineStr">
        <is>
          <t>Item</t>
        </is>
      </c>
      <c r="C4" s="22" t="inlineStr">
        <is>
          <t>Color / Variant</t>
        </is>
      </c>
      <c r="D4" s="22" t="inlineStr">
        <is>
          <t>Tag</t>
        </is>
      </c>
      <c r="E4" s="24" t="inlineStr">
        <is>
          <t>Display A</t>
        </is>
      </c>
      <c r="F4" s="24" t="inlineStr">
        <is>
          <t>Display B</t>
        </is>
      </c>
      <c r="G4" s="24" t="inlineStr">
        <is>
          <t>Display C</t>
        </is>
      </c>
      <c r="H4" s="24" t="inlineStr">
        <is>
          <t>Back Stock</t>
        </is>
      </c>
      <c r="I4" s="24" t="inlineStr">
        <is>
          <t>Total Counted</t>
        </is>
      </c>
      <c r="J4" s="24" t="inlineStr">
        <is>
          <t>Original Inventory</t>
        </is>
      </c>
      <c r="K4" s="24" t="inlineStr">
        <is>
          <t>Variance vs Original</t>
        </is>
      </c>
      <c r="L4" s="24" t="inlineStr">
        <is>
          <t>Day Start</t>
        </is>
      </c>
      <c r="M4" s="24" t="inlineStr">
        <is>
          <t>Day End</t>
        </is>
      </c>
      <c r="N4" s="24" t="inlineStr">
        <is>
          <t>Sold Today</t>
        </is>
      </c>
      <c r="O4" s="24" t="inlineStr">
        <is>
          <t>Low Stock</t>
        </is>
      </c>
      <c r="P4" s="24" t="inlineStr">
        <is>
          <t>Refill Needed</t>
        </is>
      </c>
      <c r="Q4" s="22" t="inlineStr">
        <is>
          <t>Notes</t>
        </is>
      </c>
      <c r="R4" s="0" t="inlineStr">
        <is>
          <t>IP</t>
        </is>
      </c>
    </row>
    <row r="5">
      <c r="A5" s="25" t="inlineStr">
        <is>
          <t>BEBE-001</t>
        </is>
      </c>
      <c r="B5" s="25" t="inlineStr">
        <is>
          <t>Butter Toast</t>
        </is>
      </c>
      <c r="C5" s="25" t="inlineStr">
        <is>
          <t>Original</t>
        </is>
      </c>
      <c r="D5" s="25" t="inlineStr"/>
      <c r="E5" s="34" t="n">
        <v>4</v>
      </c>
      <c r="F5" s="34" t="n">
        <v>3</v>
      </c>
      <c r="G5" s="34" t="n">
        <v>3</v>
      </c>
      <c r="H5" s="34" t="n">
        <v>0</v>
      </c>
      <c r="I5" s="41">
        <f>SUM(E5:H5)</f>
        <v/>
      </c>
      <c r="J5" s="36" t="n">
        <v>10</v>
      </c>
      <c r="K5" s="41">
        <f>IF(OR(I5="",J5=""),"",I5-J5)</f>
        <v/>
      </c>
      <c r="L5" s="34" t="inlineStr"/>
      <c r="M5" s="34" t="inlineStr"/>
      <c r="N5" s="41">
        <f>IF(AND(L5&lt;&gt;"",M5&lt;&gt;""),L5-M5,"")</f>
        <v/>
      </c>
      <c r="O5" s="41">
        <f>IF(I5&lt;=SETTINGS!$B$3,"LOW","OK")</f>
        <v/>
      </c>
      <c r="P5" s="41">
        <f>MAX(0,SETTINGS!$B$4-E5)+MAX(0,SETTINGS!$B$4-F5)+MAX(0,SETTINGS!$B$4-G5)</f>
        <v/>
      </c>
      <c r="Q5" s="37" t="inlineStr"/>
    </row>
    <row r="6">
      <c r="A6" s="25" t="inlineStr">
        <is>
          <t>BEBE-002</t>
        </is>
      </c>
      <c r="B6" s="25" t="inlineStr">
        <is>
          <t>Butter Toast</t>
        </is>
      </c>
      <c r="C6" s="25" t="inlineStr">
        <is>
          <t>With a Smile</t>
        </is>
      </c>
      <c r="D6" s="25" t="inlineStr"/>
      <c r="E6" s="34" t="n">
        <v>3</v>
      </c>
      <c r="F6" s="34" t="n">
        <v>3</v>
      </c>
      <c r="G6" s="34" t="n">
        <v>3</v>
      </c>
      <c r="H6" s="34" t="n">
        <v>0</v>
      </c>
      <c r="I6" s="41">
        <f>SUM(E6:H6)</f>
        <v/>
      </c>
      <c r="J6" s="36" t="n">
        <v>9</v>
      </c>
      <c r="K6" s="41">
        <f>IF(OR(I6="",J6=""),"",I6-J6)</f>
        <v/>
      </c>
      <c r="L6" s="34" t="inlineStr"/>
      <c r="M6" s="34" t="inlineStr"/>
      <c r="N6" s="41">
        <f>IF(AND(L6&lt;&gt;"",M6&lt;&gt;""),L6-M6,"")</f>
        <v/>
      </c>
      <c r="O6" s="41">
        <f>IF(I6&lt;=SETTINGS!$B$3,"LOW","OK")</f>
        <v/>
      </c>
      <c r="P6" s="41">
        <f>MAX(0,SETTINGS!$B$4-E6)+MAX(0,SETTINGS!$B$4-F6)+MAX(0,SETTINGS!$B$4-G6)</f>
        <v/>
      </c>
      <c r="Q6" s="37" t="inlineStr"/>
    </row>
    <row r="7">
      <c r="A7" s="25" t="inlineStr">
        <is>
          <t>BEBE-003</t>
        </is>
      </c>
      <c r="B7" s="25" t="inlineStr">
        <is>
          <t>Toaster</t>
        </is>
      </c>
      <c r="C7" s="25" t="inlineStr">
        <is>
          <t>Multicolor</t>
        </is>
      </c>
      <c r="D7" s="25" t="inlineStr"/>
      <c r="E7" s="34" t="n">
        <v>2</v>
      </c>
      <c r="F7" s="34" t="n">
        <v>1</v>
      </c>
      <c r="G7" s="34" t="n">
        <v>1</v>
      </c>
      <c r="H7" s="34" t="n">
        <v>0</v>
      </c>
      <c r="I7" s="41">
        <f>SUM(E7:H7)</f>
        <v/>
      </c>
      <c r="J7" s="36" t="n">
        <v>4</v>
      </c>
      <c r="K7" s="41">
        <f>IF(OR(I7="",J7=""),"",I7-J7)</f>
        <v/>
      </c>
      <c r="L7" s="34" t="inlineStr"/>
      <c r="M7" s="34" t="inlineStr"/>
      <c r="N7" s="41">
        <f>IF(AND(L7&lt;&gt;"",M7&lt;&gt;""),L7-M7,"")</f>
        <v/>
      </c>
      <c r="O7" s="41">
        <f>IF(I7&lt;=SETTINGS!$B$3,"LOW","OK")</f>
        <v/>
      </c>
      <c r="P7" s="41">
        <f>MAX(0,SETTINGS!$B$4-E7)+MAX(0,SETTINGS!$B$4-F7)+MAX(0,SETTINGS!$B$4-G7)</f>
        <v/>
      </c>
      <c r="Q7" s="37" t="inlineStr"/>
    </row>
    <row r="8">
      <c r="A8" s="25" t="inlineStr">
        <is>
          <t>BEBE-004</t>
        </is>
      </c>
      <c r="B8" s="25" t="inlineStr">
        <is>
          <t>Sunny Side Up Egg</t>
        </is>
      </c>
      <c r="C8" s="25" t="inlineStr">
        <is>
          <t>Original</t>
        </is>
      </c>
      <c r="D8" s="25" t="inlineStr"/>
      <c r="E8" s="34" t="n">
        <v>4</v>
      </c>
      <c r="F8" s="34" t="n">
        <v>3</v>
      </c>
      <c r="G8" s="34" t="n">
        <v>3</v>
      </c>
      <c r="H8" s="34" t="n">
        <v>0</v>
      </c>
      <c r="I8" s="41">
        <f>SUM(E8:H8)</f>
        <v/>
      </c>
      <c r="J8" s="36" t="n">
        <v>10</v>
      </c>
      <c r="K8" s="41">
        <f>IF(OR(I8="",J8=""),"",I8-J8)</f>
        <v/>
      </c>
      <c r="L8" s="34" t="inlineStr"/>
      <c r="M8" s="34" t="inlineStr"/>
      <c r="N8" s="41">
        <f>IF(AND(L8&lt;&gt;"",M8&lt;&gt;""),L8-M8,"")</f>
        <v/>
      </c>
      <c r="O8" s="41">
        <f>IF(I8&lt;=SETTINGS!$B$3,"LOW","OK")</f>
        <v/>
      </c>
      <c r="P8" s="41">
        <f>MAX(0,SETTINGS!$B$4-E8)+MAX(0,SETTINGS!$B$4-F8)+MAX(0,SETTINGS!$B$4-G8)</f>
        <v/>
      </c>
      <c r="Q8" s="37" t="inlineStr"/>
    </row>
    <row r="9">
      <c r="A9" s="25" t="inlineStr">
        <is>
          <t>BEBE-005</t>
        </is>
      </c>
      <c r="B9" s="25" t="inlineStr">
        <is>
          <t>Sunny Side Up Egg</t>
        </is>
      </c>
      <c r="C9" s="25" t="inlineStr">
        <is>
          <t>With a Smile</t>
        </is>
      </c>
      <c r="D9" s="25" t="inlineStr"/>
      <c r="E9" s="34" t="n">
        <v>3</v>
      </c>
      <c r="F9" s="34" t="n">
        <v>3</v>
      </c>
      <c r="G9" s="34" t="n">
        <v>3</v>
      </c>
      <c r="H9" s="34" t="n">
        <v>0</v>
      </c>
      <c r="I9" s="41">
        <f>SUM(E9:H9)</f>
        <v/>
      </c>
      <c r="J9" s="36" t="n">
        <v>9</v>
      </c>
      <c r="K9" s="41">
        <f>IF(OR(I9="",J9=""),"",I9-J9)</f>
        <v/>
      </c>
      <c r="L9" s="34" t="inlineStr"/>
      <c r="M9" s="34" t="inlineStr"/>
      <c r="N9" s="41">
        <f>IF(AND(L9&lt;&gt;"",M9&lt;&gt;""),L9-M9,"")</f>
        <v/>
      </c>
      <c r="O9" s="41">
        <f>IF(I9&lt;=SETTINGS!$B$3,"LOW","OK")</f>
        <v/>
      </c>
      <c r="P9" s="41">
        <f>MAX(0,SETTINGS!$B$4-E9)+MAX(0,SETTINGS!$B$4-F9)+MAX(0,SETTINGS!$B$4-G9)</f>
        <v/>
      </c>
      <c r="Q9" s="37" t="inlineStr"/>
    </row>
    <row r="10">
      <c r="A10" s="25" t="inlineStr">
        <is>
          <t>BEBE-006</t>
        </is>
      </c>
      <c r="B10" s="25" t="inlineStr">
        <is>
          <t>Bacon</t>
        </is>
      </c>
      <c r="C10" s="25" t="inlineStr">
        <is>
          <t>Original</t>
        </is>
      </c>
      <c r="D10" s="25" t="inlineStr"/>
      <c r="E10" s="34" t="n">
        <v>4</v>
      </c>
      <c r="F10" s="34" t="n">
        <v>4</v>
      </c>
      <c r="G10" s="34" t="n">
        <v>3</v>
      </c>
      <c r="H10" s="34" t="n">
        <v>0</v>
      </c>
      <c r="I10" s="41">
        <f>SUM(E10:H10)</f>
        <v/>
      </c>
      <c r="J10" s="36" t="n">
        <v>11</v>
      </c>
      <c r="K10" s="41">
        <f>IF(OR(I10="",J10=""),"",I10-J10)</f>
        <v/>
      </c>
      <c r="L10" s="34" t="inlineStr"/>
      <c r="M10" s="34" t="inlineStr"/>
      <c r="N10" s="41">
        <f>IF(AND(L10&lt;&gt;"",M10&lt;&gt;""),L10-M10,"")</f>
        <v/>
      </c>
      <c r="O10" s="41">
        <f>IF(I10&lt;=SETTINGS!$B$3,"LOW","OK")</f>
        <v/>
      </c>
      <c r="P10" s="41">
        <f>MAX(0,SETTINGS!$B$4-E10)+MAX(0,SETTINGS!$B$4-F10)+MAX(0,SETTINGS!$B$4-G10)</f>
        <v/>
      </c>
      <c r="Q10" s="37" t="inlineStr"/>
    </row>
    <row r="11">
      <c r="A11" s="25" t="inlineStr">
        <is>
          <t>BEBE-007</t>
        </is>
      </c>
      <c r="B11" s="25" t="inlineStr">
        <is>
          <t>Bacon</t>
        </is>
      </c>
      <c r="C11" s="25" t="inlineStr">
        <is>
          <t>Smile</t>
        </is>
      </c>
      <c r="D11" s="25" t="inlineStr"/>
      <c r="E11" s="34" t="n">
        <v>3</v>
      </c>
      <c r="F11" s="34" t="n">
        <v>3</v>
      </c>
      <c r="G11" s="34" t="n">
        <v>2</v>
      </c>
      <c r="H11" s="34" t="n">
        <v>0</v>
      </c>
      <c r="I11" s="41">
        <f>SUM(E11:H11)</f>
        <v/>
      </c>
      <c r="J11" s="36" t="n">
        <v>8</v>
      </c>
      <c r="K11" s="41">
        <f>IF(OR(I11="",J11=""),"",I11-J11)</f>
        <v/>
      </c>
      <c r="L11" s="34" t="inlineStr"/>
      <c r="M11" s="34" t="inlineStr"/>
      <c r="N11" s="41">
        <f>IF(AND(L11&lt;&gt;"",M11&lt;&gt;""),L11-M11,"")</f>
        <v/>
      </c>
      <c r="O11" s="41">
        <f>IF(I11&lt;=SETTINGS!$B$3,"LOW","OK")</f>
        <v/>
      </c>
      <c r="P11" s="41">
        <f>MAX(0,SETTINGS!$B$4-E11)+MAX(0,SETTINGS!$B$4-F11)+MAX(0,SETTINGS!$B$4-G11)</f>
        <v/>
      </c>
      <c r="Q11" s="37" t="inlineStr"/>
    </row>
    <row r="12">
      <c r="A12" s="25" t="inlineStr">
        <is>
          <t>BEBE-008</t>
        </is>
      </c>
      <c r="B12" s="25" t="inlineStr">
        <is>
          <t>Cup Noodles</t>
        </is>
      </c>
      <c r="C12" s="25" t="inlineStr">
        <is>
          <t>Red</t>
        </is>
      </c>
      <c r="D12" s="25" t="inlineStr"/>
      <c r="E12" s="34" t="n">
        <v>5</v>
      </c>
      <c r="F12" s="34" t="n">
        <v>5</v>
      </c>
      <c r="G12" s="34" t="n">
        <v>5</v>
      </c>
      <c r="H12" s="34" t="n">
        <v>5</v>
      </c>
      <c r="I12" s="41">
        <f>SUM(E12:H12)</f>
        <v/>
      </c>
      <c r="J12" s="36" t="n">
        <v>20</v>
      </c>
      <c r="K12" s="41">
        <f>IF(OR(I12="",J12=""),"",I12-J12)</f>
        <v/>
      </c>
      <c r="L12" s="34" t="inlineStr"/>
      <c r="M12" s="34" t="inlineStr"/>
      <c r="N12" s="41">
        <f>IF(AND(L12&lt;&gt;"",M12&lt;&gt;""),L12-M12,"")</f>
        <v/>
      </c>
      <c r="O12" s="41">
        <f>IF(I12&lt;=SETTINGS!$B$3,"LOW","OK")</f>
        <v/>
      </c>
      <c r="P12" s="41">
        <f>MAX(0,SETTINGS!$B$4-E12)+MAX(0,SETTINGS!$B$4-F12)+MAX(0,SETTINGS!$B$4-G12)</f>
        <v/>
      </c>
      <c r="Q12" s="37" t="inlineStr"/>
    </row>
    <row r="13">
      <c r="A13" s="25" t="inlineStr">
        <is>
          <t>BEBE-009</t>
        </is>
      </c>
      <c r="B13" s="25" t="inlineStr">
        <is>
          <t>Cup Noodles</t>
        </is>
      </c>
      <c r="C13" s="25" t="inlineStr">
        <is>
          <t>Blue</t>
        </is>
      </c>
      <c r="D13" s="25" t="inlineStr"/>
      <c r="E13" s="34" t="n">
        <v>5</v>
      </c>
      <c r="F13" s="34" t="n">
        <v>5</v>
      </c>
      <c r="G13" s="34" t="n">
        <v>5</v>
      </c>
      <c r="H13" s="34" t="n">
        <v>5</v>
      </c>
      <c r="I13" s="41">
        <f>SUM(E13:H13)</f>
        <v/>
      </c>
      <c r="J13" s="36" t="n">
        <v>20</v>
      </c>
      <c r="K13" s="41">
        <f>IF(OR(I13="",J13=""),"",I13-J13)</f>
        <v/>
      </c>
      <c r="L13" s="34" t="inlineStr"/>
      <c r="M13" s="34" t="inlineStr"/>
      <c r="N13" s="41">
        <f>IF(AND(L13&lt;&gt;"",M13&lt;&gt;""),L13-M13,"")</f>
        <v/>
      </c>
      <c r="O13" s="41">
        <f>IF(I13&lt;=SETTINGS!$B$3,"LOW","OK")</f>
        <v/>
      </c>
      <c r="P13" s="41">
        <f>MAX(0,SETTINGS!$B$4-E13)+MAX(0,SETTINGS!$B$4-F13)+MAX(0,SETTINGS!$B$4-G13)</f>
        <v/>
      </c>
      <c r="Q13" s="37" t="inlineStr"/>
    </row>
    <row r="14">
      <c r="A14" s="25" t="inlineStr">
        <is>
          <t>BEBE-010</t>
        </is>
      </c>
      <c r="B14" s="25" t="inlineStr">
        <is>
          <t>Ramen</t>
        </is>
      </c>
      <c r="C14" s="25" t="inlineStr">
        <is>
          <t>Multicolor</t>
        </is>
      </c>
      <c r="D14" s="25" t="inlineStr"/>
      <c r="E14" s="34" t="n">
        <v>7</v>
      </c>
      <c r="F14" s="34" t="n">
        <v>7</v>
      </c>
      <c r="G14" s="34" t="n">
        <v>7</v>
      </c>
      <c r="H14" s="34" t="n">
        <v>0</v>
      </c>
      <c r="I14" s="41">
        <f>SUM(E14:H14)</f>
        <v/>
      </c>
      <c r="J14" s="36" t="n">
        <v>21</v>
      </c>
      <c r="K14" s="41">
        <f>IF(OR(I14="",J14=""),"",I14-J14)</f>
        <v/>
      </c>
      <c r="L14" s="34" t="inlineStr"/>
      <c r="M14" s="34" t="inlineStr"/>
      <c r="N14" s="41">
        <f>IF(AND(L14&lt;&gt;"",M14&lt;&gt;""),L14-M14,"")</f>
        <v/>
      </c>
      <c r="O14" s="41">
        <f>IF(I14&lt;=SETTINGS!$B$3,"LOW","OK")</f>
        <v/>
      </c>
      <c r="P14" s="41">
        <f>MAX(0,SETTINGS!$B$4-E14)+MAX(0,SETTINGS!$B$4-F14)+MAX(0,SETTINGS!$B$4-G14)</f>
        <v/>
      </c>
      <c r="Q14" s="37" t="inlineStr"/>
    </row>
    <row r="15">
      <c r="A15" s="25" t="inlineStr">
        <is>
          <t>BEBE-011</t>
        </is>
      </c>
      <c r="B15" s="25" t="inlineStr">
        <is>
          <t>Xiao Long Bao</t>
        </is>
      </c>
      <c r="C15" s="25" t="inlineStr">
        <is>
          <t>Multicolor</t>
        </is>
      </c>
      <c r="D15" s="25" t="inlineStr"/>
      <c r="E15" s="34" t="n">
        <v>4</v>
      </c>
      <c r="F15" s="34" t="n">
        <v>4</v>
      </c>
      <c r="G15" s="34" t="n">
        <v>4</v>
      </c>
      <c r="H15" s="34" t="n">
        <v>0</v>
      </c>
      <c r="I15" s="41">
        <f>SUM(E15:H15)</f>
        <v/>
      </c>
      <c r="J15" s="36" t="n">
        <v>12</v>
      </c>
      <c r="K15" s="41">
        <f>IF(OR(I15="",J15=""),"",I15-J15)</f>
        <v/>
      </c>
      <c r="L15" s="34" t="inlineStr"/>
      <c r="M15" s="34" t="inlineStr"/>
      <c r="N15" s="41">
        <f>IF(AND(L15&lt;&gt;"",M15&lt;&gt;""),L15-M15,"")</f>
        <v/>
      </c>
      <c r="O15" s="41">
        <f>IF(I15&lt;=SETTINGS!$B$3,"LOW","OK")</f>
        <v/>
      </c>
      <c r="P15" s="41">
        <f>MAX(0,SETTINGS!$B$4-E15)+MAX(0,SETTINGS!$B$4-F15)+MAX(0,SETTINGS!$B$4-G15)</f>
        <v/>
      </c>
      <c r="Q15" s="37" t="inlineStr"/>
    </row>
    <row r="16">
      <c r="A16" s="25" t="inlineStr">
        <is>
          <t>BEBE-012</t>
        </is>
      </c>
      <c r="B16" s="25" t="inlineStr">
        <is>
          <t>Siopao</t>
        </is>
      </c>
      <c r="C16" s="25" t="inlineStr">
        <is>
          <t>Multicolor</t>
        </is>
      </c>
      <c r="D16" s="25" t="inlineStr"/>
      <c r="E16" s="34" t="n">
        <v>5</v>
      </c>
      <c r="F16" s="34" t="n">
        <v>4</v>
      </c>
      <c r="G16" s="34" t="n">
        <v>4</v>
      </c>
      <c r="H16" s="34" t="n">
        <v>0</v>
      </c>
      <c r="I16" s="41">
        <f>SUM(E16:H16)</f>
        <v/>
      </c>
      <c r="J16" s="36" t="n">
        <v>13</v>
      </c>
      <c r="K16" s="41">
        <f>IF(OR(I16="",J16=""),"",I16-J16)</f>
        <v/>
      </c>
      <c r="L16" s="34" t="inlineStr"/>
      <c r="M16" s="34" t="inlineStr"/>
      <c r="N16" s="41">
        <f>IF(AND(L16&lt;&gt;"",M16&lt;&gt;""),L16-M16,"")</f>
        <v/>
      </c>
      <c r="O16" s="41">
        <f>IF(I16&lt;=SETTINGS!$B$3,"LOW","OK")</f>
        <v/>
      </c>
      <c r="P16" s="41">
        <f>MAX(0,SETTINGS!$B$4-E16)+MAX(0,SETTINGS!$B$4-F16)+MAX(0,SETTINGS!$B$4-G16)</f>
        <v/>
      </c>
      <c r="Q16" s="37" t="inlineStr"/>
    </row>
    <row r="17">
      <c r="A17" s="25" t="inlineStr">
        <is>
          <t>BEBE-013</t>
        </is>
      </c>
      <c r="B17" s="25" t="inlineStr">
        <is>
          <t>Tempura</t>
        </is>
      </c>
      <c r="C17" s="25" t="inlineStr">
        <is>
          <t>Original</t>
        </is>
      </c>
      <c r="D17" s="25" t="inlineStr"/>
      <c r="E17" s="34" t="n">
        <v>1</v>
      </c>
      <c r="F17" s="34" t="n">
        <v>1</v>
      </c>
      <c r="G17" s="34" t="n">
        <v>0</v>
      </c>
      <c r="H17" s="34" t="n">
        <v>0</v>
      </c>
      <c r="I17" s="41">
        <f>SUM(E17:H17)</f>
        <v/>
      </c>
      <c r="J17" s="36" t="n">
        <v>2</v>
      </c>
      <c r="K17" s="41">
        <f>IF(OR(I17="",J17=""),"",I17-J17)</f>
        <v/>
      </c>
      <c r="L17" s="34" t="inlineStr"/>
      <c r="M17" s="34" t="inlineStr"/>
      <c r="N17" s="41">
        <f>IF(AND(L17&lt;&gt;"",M17&lt;&gt;""),L17-M17,"")</f>
        <v/>
      </c>
      <c r="O17" s="41">
        <f>IF(I17&lt;=SETTINGS!$B$3,"LOW","OK")</f>
        <v/>
      </c>
      <c r="P17" s="41">
        <f>MAX(0,SETTINGS!$B$4-E17)+MAX(0,SETTINGS!$B$4-F17)+MAX(0,SETTINGS!$B$4-G17)</f>
        <v/>
      </c>
      <c r="Q17" s="37" t="inlineStr"/>
    </row>
    <row r="18">
      <c r="A18" s="25" t="inlineStr">
        <is>
          <t>BEBE-014</t>
        </is>
      </c>
      <c r="B18" s="25" t="inlineStr">
        <is>
          <t>Tempura</t>
        </is>
      </c>
      <c r="C18" s="25" t="inlineStr">
        <is>
          <t>With a Smile</t>
        </is>
      </c>
      <c r="D18" s="25" t="inlineStr"/>
      <c r="E18" s="34" t="n">
        <v>1</v>
      </c>
      <c r="F18" s="34" t="n">
        <v>1</v>
      </c>
      <c r="G18" s="34" t="n">
        <v>1</v>
      </c>
      <c r="H18" s="34" t="n">
        <v>0</v>
      </c>
      <c r="I18" s="41">
        <f>SUM(E18:H18)</f>
        <v/>
      </c>
      <c r="J18" s="36" t="n">
        <v>3</v>
      </c>
      <c r="K18" s="41">
        <f>IF(OR(I18="",J18=""),"",I18-J18)</f>
        <v/>
      </c>
      <c r="L18" s="34" t="inlineStr"/>
      <c r="M18" s="34" t="inlineStr"/>
      <c r="N18" s="41">
        <f>IF(AND(L18&lt;&gt;"",M18&lt;&gt;""),L18-M18,"")</f>
        <v/>
      </c>
      <c r="O18" s="41">
        <f>IF(I18&lt;=SETTINGS!$B$3,"LOW","OK")</f>
        <v/>
      </c>
      <c r="P18" s="41">
        <f>MAX(0,SETTINGS!$B$4-E18)+MAX(0,SETTINGS!$B$4-F18)+MAX(0,SETTINGS!$B$4-G18)</f>
        <v/>
      </c>
      <c r="Q18" s="37" t="inlineStr"/>
    </row>
    <row r="19">
      <c r="A19" s="25" t="inlineStr">
        <is>
          <t>BEBE-015</t>
        </is>
      </c>
      <c r="B19" s="25" t="inlineStr">
        <is>
          <t>Onigiri</t>
        </is>
      </c>
      <c r="C19" s="25" t="inlineStr">
        <is>
          <t>White</t>
        </is>
      </c>
      <c r="D19" s="25" t="inlineStr"/>
      <c r="E19" s="34" t="n">
        <v>1</v>
      </c>
      <c r="F19" s="34" t="n">
        <v>0</v>
      </c>
      <c r="G19" s="34" t="n">
        <v>1</v>
      </c>
      <c r="H19" s="34" t="n">
        <v>0</v>
      </c>
      <c r="I19" s="41">
        <f>SUM(E19:H19)</f>
        <v/>
      </c>
      <c r="J19" s="36" t="n">
        <v>2</v>
      </c>
      <c r="K19" s="41">
        <f>IF(OR(I19="",J19=""),"",I19-J19)</f>
        <v/>
      </c>
      <c r="L19" s="34" t="inlineStr"/>
      <c r="M19" s="34" t="inlineStr"/>
      <c r="N19" s="41">
        <f>IF(AND(L19&lt;&gt;"",M19&lt;&gt;""),L19-M19,"")</f>
        <v/>
      </c>
      <c r="O19" s="41">
        <f>IF(I19&lt;=SETTINGS!$B$3,"LOW","OK")</f>
        <v/>
      </c>
      <c r="P19" s="41">
        <f>MAX(0,SETTINGS!$B$4-E19)+MAX(0,SETTINGS!$B$4-F19)+MAX(0,SETTINGS!$B$4-G19)</f>
        <v/>
      </c>
      <c r="Q19" s="37" t="inlineStr"/>
    </row>
    <row r="20">
      <c r="A20" s="25" t="inlineStr">
        <is>
          <t>BEBE-016</t>
        </is>
      </c>
      <c r="B20" s="25" t="inlineStr">
        <is>
          <t>Onigiri</t>
        </is>
      </c>
      <c r="C20" s="25" t="inlineStr">
        <is>
          <t>White with a Smile</t>
        </is>
      </c>
      <c r="D20" s="25" t="inlineStr"/>
      <c r="E20" s="34" t="n">
        <v>0</v>
      </c>
      <c r="F20" s="34" t="n">
        <v>1</v>
      </c>
      <c r="G20" s="34" t="n">
        <v>0</v>
      </c>
      <c r="H20" s="34" t="n">
        <v>0</v>
      </c>
      <c r="I20" s="41">
        <f>SUM(E20:H20)</f>
        <v/>
      </c>
      <c r="J20" s="36" t="n">
        <v>1</v>
      </c>
      <c r="K20" s="41">
        <f>IF(OR(I20="",J20=""),"",I20-J20)</f>
        <v/>
      </c>
      <c r="L20" s="34" t="inlineStr"/>
      <c r="M20" s="34" t="inlineStr"/>
      <c r="N20" s="41">
        <f>IF(AND(L20&lt;&gt;"",M20&lt;&gt;""),L20-M20,"")</f>
        <v/>
      </c>
      <c r="O20" s="41">
        <f>IF(I20&lt;=SETTINGS!$B$3,"LOW","OK")</f>
        <v/>
      </c>
      <c r="P20" s="41">
        <f>MAX(0,SETTINGS!$B$4-E20)+MAX(0,SETTINGS!$B$4-F20)+MAX(0,SETTINGS!$B$4-G20)</f>
        <v/>
      </c>
      <c r="Q20" s="37" t="inlineStr"/>
    </row>
    <row r="21" ht="15.75" customHeight="1" s="45">
      <c r="A21" s="25" t="inlineStr">
        <is>
          <t>BEBE-017</t>
        </is>
      </c>
      <c r="B21" s="25" t="inlineStr">
        <is>
          <t>Onigiri</t>
        </is>
      </c>
      <c r="C21" s="25" t="inlineStr">
        <is>
          <t>Black</t>
        </is>
      </c>
      <c r="D21" s="25" t="inlineStr"/>
      <c r="E21" s="34" t="n">
        <v>5</v>
      </c>
      <c r="F21" s="34" t="n">
        <v>5</v>
      </c>
      <c r="G21" s="34" t="n">
        <v>5</v>
      </c>
      <c r="H21" s="34" t="n">
        <v>0</v>
      </c>
      <c r="I21" s="41">
        <f>SUM(E21:H21)</f>
        <v/>
      </c>
      <c r="J21" s="36" t="n">
        <v>15</v>
      </c>
      <c r="K21" s="41">
        <f>IF(OR(I21="",J21=""),"",I21-J21)</f>
        <v/>
      </c>
      <c r="L21" s="34" t="inlineStr"/>
      <c r="M21" s="34" t="inlineStr"/>
      <c r="N21" s="41">
        <f>IF(AND(L21&lt;&gt;"",M21&lt;&gt;""),L21-M21,"")</f>
        <v/>
      </c>
      <c r="O21" s="41">
        <f>IF(I21&lt;=SETTINGS!$B$3,"LOW","OK")</f>
        <v/>
      </c>
      <c r="P21" s="41">
        <f>MAX(0,SETTINGS!$B$4-E21)+MAX(0,SETTINGS!$B$4-F21)+MAX(0,SETTINGS!$B$4-G21)</f>
        <v/>
      </c>
      <c r="Q21" s="37" t="inlineStr"/>
    </row>
    <row r="22" ht="15.75" customHeight="1" s="45">
      <c r="A22" s="25" t="inlineStr">
        <is>
          <t>BEBE-018</t>
        </is>
      </c>
      <c r="B22" s="25" t="inlineStr">
        <is>
          <t>Onigiri</t>
        </is>
      </c>
      <c r="C22" s="25" t="inlineStr">
        <is>
          <t>Black with a Smile</t>
        </is>
      </c>
      <c r="D22" s="25" t="inlineStr"/>
      <c r="E22" s="34" t="n">
        <v>4</v>
      </c>
      <c r="F22" s="34" t="n">
        <v>4</v>
      </c>
      <c r="G22" s="34" t="n">
        <v>5</v>
      </c>
      <c r="H22" s="34" t="n">
        <v>0</v>
      </c>
      <c r="I22" s="41">
        <f>SUM(E22:H22)</f>
        <v/>
      </c>
      <c r="J22" s="36" t="n">
        <v>9</v>
      </c>
      <c r="K22" s="41">
        <f>IF(OR(I22="",J22=""),"",I22-J22)</f>
        <v/>
      </c>
      <c r="L22" s="34" t="inlineStr"/>
      <c r="M22" s="34" t="inlineStr"/>
      <c r="N22" s="41">
        <f>IF(AND(L22&lt;&gt;"",M22&lt;&gt;""),L22-M22,"")</f>
        <v/>
      </c>
      <c r="O22" s="41">
        <f>IF(I22&lt;=SETTINGS!$B$3,"LOW","OK")</f>
        <v/>
      </c>
      <c r="P22" s="41">
        <f>MAX(0,SETTINGS!$B$4-E22)+MAX(0,SETTINGS!$B$4-F22)+MAX(0,SETTINGS!$B$4-G22)</f>
        <v/>
      </c>
      <c r="Q22" s="37" t="inlineStr"/>
    </row>
    <row r="23" ht="15.75" customHeight="1" s="45">
      <c r="A23" s="25" t="inlineStr">
        <is>
          <t>BEBE-019</t>
        </is>
      </c>
      <c r="B23" s="25" t="inlineStr">
        <is>
          <t>Salmon Maki</t>
        </is>
      </c>
      <c r="C23" s="25" t="inlineStr">
        <is>
          <t>Multicolor</t>
        </is>
      </c>
      <c r="D23" s="25" t="inlineStr"/>
      <c r="E23" s="34" t="n">
        <v>3</v>
      </c>
      <c r="F23" s="34" t="n">
        <v>3</v>
      </c>
      <c r="G23" s="34" t="n">
        <v>3</v>
      </c>
      <c r="H23" s="34" t="n">
        <v>0</v>
      </c>
      <c r="I23" s="41">
        <f>SUM(E23:H23)</f>
        <v/>
      </c>
      <c r="J23" s="36" t="n">
        <v>9</v>
      </c>
      <c r="K23" s="41">
        <f>IF(OR(I23="",J23=""),"",I23-J23)</f>
        <v/>
      </c>
      <c r="L23" s="34" t="inlineStr"/>
      <c r="M23" s="34" t="inlineStr"/>
      <c r="N23" s="41">
        <f>IF(AND(L23&lt;&gt;"",M23&lt;&gt;""),L23-M23,"")</f>
        <v/>
      </c>
      <c r="O23" s="41">
        <f>IF(I23&lt;=SETTINGS!$B$3,"LOW","OK")</f>
        <v/>
      </c>
      <c r="P23" s="41">
        <f>MAX(0,SETTINGS!$B$4-E23)+MAX(0,SETTINGS!$B$4-F23)+MAX(0,SETTINGS!$B$4-G23)</f>
        <v/>
      </c>
      <c r="Q23" s="37" t="inlineStr"/>
    </row>
    <row r="24" ht="15.75" customHeight="1" s="45">
      <c r="A24" s="25" t="inlineStr">
        <is>
          <t>BEBE-020</t>
        </is>
      </c>
      <c r="B24" s="25" t="inlineStr">
        <is>
          <t>Tuna Maki</t>
        </is>
      </c>
      <c r="C24" s="25" t="inlineStr">
        <is>
          <t>Multicolor</t>
        </is>
      </c>
      <c r="D24" s="25" t="inlineStr"/>
      <c r="E24" s="34" t="n">
        <v>4</v>
      </c>
      <c r="F24" s="34" t="n">
        <v>4</v>
      </c>
      <c r="G24" s="34" t="n">
        <v>3</v>
      </c>
      <c r="H24" s="34" t="n">
        <v>0</v>
      </c>
      <c r="I24" s="41">
        <f>SUM(E24:H24)</f>
        <v/>
      </c>
      <c r="J24" s="36" t="n">
        <v>11</v>
      </c>
      <c r="K24" s="41">
        <f>IF(OR(I24="",J24=""),"",I24-J24)</f>
        <v/>
      </c>
      <c r="L24" s="34" t="inlineStr"/>
      <c r="M24" s="34" t="inlineStr"/>
      <c r="N24" s="41">
        <f>IF(AND(L24&lt;&gt;"",M24&lt;&gt;""),L24-M24,"")</f>
        <v/>
      </c>
      <c r="O24" s="41">
        <f>IF(I24&lt;=SETTINGS!$B$3,"LOW","OK")</f>
        <v/>
      </c>
      <c r="P24" s="41">
        <f>MAX(0,SETTINGS!$B$4-E24)+MAX(0,SETTINGS!$B$4-F24)+MAX(0,SETTINGS!$B$4-G24)</f>
        <v/>
      </c>
      <c r="Q24" s="37" t="inlineStr"/>
    </row>
    <row r="25" ht="15.75" customHeight="1" s="45">
      <c r="A25" s="25" t="inlineStr">
        <is>
          <t>BEBE-021</t>
        </is>
      </c>
      <c r="B25" s="25" t="inlineStr">
        <is>
          <t>Tuna Nigiri</t>
        </is>
      </c>
      <c r="C25" s="25" t="inlineStr">
        <is>
          <t>Original</t>
        </is>
      </c>
      <c r="D25" s="25" t="inlineStr"/>
      <c r="E25" s="34" t="n">
        <v>1</v>
      </c>
      <c r="F25" s="34" t="n">
        <v>0</v>
      </c>
      <c r="G25" s="34" t="n">
        <v>1</v>
      </c>
      <c r="H25" s="34" t="n">
        <v>0</v>
      </c>
      <c r="I25" s="41">
        <f>SUM(E25:H25)</f>
        <v/>
      </c>
      <c r="J25" s="36" t="n">
        <v>2</v>
      </c>
      <c r="K25" s="41">
        <f>IF(OR(I25="",J25=""),"",I25-J25)</f>
        <v/>
      </c>
      <c r="L25" s="34" t="inlineStr"/>
      <c r="M25" s="34" t="inlineStr"/>
      <c r="N25" s="41">
        <f>IF(AND(L25&lt;&gt;"",M25&lt;&gt;""),L25-M25,"")</f>
        <v/>
      </c>
      <c r="O25" s="41">
        <f>IF(I25&lt;=SETTINGS!$B$3,"LOW","OK")</f>
        <v/>
      </c>
      <c r="P25" s="41">
        <f>MAX(0,SETTINGS!$B$4-E25)+MAX(0,SETTINGS!$B$4-F25)+MAX(0,SETTINGS!$B$4-G25)</f>
        <v/>
      </c>
      <c r="Q25" s="37" t="inlineStr"/>
    </row>
    <row r="26" ht="15.75" customHeight="1" s="45">
      <c r="A26" s="25" t="inlineStr">
        <is>
          <t>BEBE-022</t>
        </is>
      </c>
      <c r="B26" s="25" t="inlineStr">
        <is>
          <t>Tuna Nigiri</t>
        </is>
      </c>
      <c r="C26" s="25" t="inlineStr">
        <is>
          <t>With a Smile</t>
        </is>
      </c>
      <c r="D26" s="25" t="inlineStr"/>
      <c r="E26" s="34" t="n">
        <v>1</v>
      </c>
      <c r="F26" s="34" t="n">
        <v>1</v>
      </c>
      <c r="G26" s="34" t="n">
        <v>0</v>
      </c>
      <c r="H26" s="34" t="n">
        <v>0</v>
      </c>
      <c r="I26" s="41">
        <f>SUM(E26:H26)</f>
        <v/>
      </c>
      <c r="J26" s="36" t="n">
        <v>2</v>
      </c>
      <c r="K26" s="41">
        <f>IF(OR(I26="",J26=""),"",I26-J26)</f>
        <v/>
      </c>
      <c r="L26" s="34" t="inlineStr"/>
      <c r="M26" s="34" t="inlineStr"/>
      <c r="N26" s="41">
        <f>IF(AND(L26&lt;&gt;"",M26&lt;&gt;""),L26-M26,"")</f>
        <v/>
      </c>
      <c r="O26" s="41">
        <f>IF(I26&lt;=SETTINGS!$B$3,"LOW","OK")</f>
        <v/>
      </c>
      <c r="P26" s="41">
        <f>MAX(0,SETTINGS!$B$4-E26)+MAX(0,SETTINGS!$B$4-F26)+MAX(0,SETTINGS!$B$4-G26)</f>
        <v/>
      </c>
      <c r="Q26" s="37" t="inlineStr"/>
    </row>
    <row r="27" ht="15.75" customHeight="1" s="45">
      <c r="A27" s="25" t="inlineStr">
        <is>
          <t>BEBE-023</t>
        </is>
      </c>
      <c r="B27" s="25" t="inlineStr">
        <is>
          <t>Salmon Nigiri</t>
        </is>
      </c>
      <c r="C27" s="25" t="inlineStr">
        <is>
          <t>Original</t>
        </is>
      </c>
      <c r="D27" s="25" t="inlineStr"/>
      <c r="E27" s="34" t="n">
        <v>1</v>
      </c>
      <c r="F27" s="34" t="n">
        <v>1</v>
      </c>
      <c r="G27" s="34" t="n">
        <v>0</v>
      </c>
      <c r="H27" s="34" t="n">
        <v>0</v>
      </c>
      <c r="I27" s="41">
        <f>SUM(E27:H27)</f>
        <v/>
      </c>
      <c r="J27" s="36" t="n">
        <v>2</v>
      </c>
      <c r="K27" s="41">
        <f>IF(OR(I27="",J27=""),"",I27-J27)</f>
        <v/>
      </c>
      <c r="L27" s="34" t="inlineStr"/>
      <c r="M27" s="34" t="inlineStr"/>
      <c r="N27" s="41">
        <f>IF(AND(L27&lt;&gt;"",M27&lt;&gt;""),L27-M27,"")</f>
        <v/>
      </c>
      <c r="O27" s="41">
        <f>IF(I27&lt;=SETTINGS!$B$3,"LOW","OK")</f>
        <v/>
      </c>
      <c r="P27" s="41">
        <f>MAX(0,SETTINGS!$B$4-E27)+MAX(0,SETTINGS!$B$4-F27)+MAX(0,SETTINGS!$B$4-G27)</f>
        <v/>
      </c>
      <c r="Q27" s="37" t="inlineStr"/>
    </row>
    <row r="28" ht="15.75" customHeight="1" s="45">
      <c r="A28" s="25" t="inlineStr">
        <is>
          <t>BEBE-024</t>
        </is>
      </c>
      <c r="B28" s="25" t="inlineStr">
        <is>
          <t>Salmon Nigiri</t>
        </is>
      </c>
      <c r="C28" s="25" t="inlineStr">
        <is>
          <t>With a Smile</t>
        </is>
      </c>
      <c r="D28" s="25" t="inlineStr"/>
      <c r="E28" s="34" t="n">
        <v>0</v>
      </c>
      <c r="F28" s="34" t="n">
        <v>0</v>
      </c>
      <c r="G28" s="34" t="n">
        <v>0</v>
      </c>
      <c r="H28" s="34" t="n">
        <v>0</v>
      </c>
      <c r="I28" s="41">
        <f>SUM(E28:H28)</f>
        <v/>
      </c>
      <c r="J28" s="36" t="n">
        <v>0</v>
      </c>
      <c r="K28" s="41">
        <f>IF(OR(I28="",J28=""),"",I28-J28)</f>
        <v/>
      </c>
      <c r="L28" s="34" t="inlineStr"/>
      <c r="M28" s="34" t="inlineStr"/>
      <c r="N28" s="41">
        <f>IF(AND(L28&lt;&gt;"",M28&lt;&gt;""),L28-M28,"")</f>
        <v/>
      </c>
      <c r="O28" s="41">
        <f>IF(I28&lt;=SETTINGS!$B$3,"LOW","OK")</f>
        <v/>
      </c>
      <c r="P28" s="41">
        <f>MAX(0,SETTINGS!$B$4-E28)+MAX(0,SETTINGS!$B$4-F28)+MAX(0,SETTINGS!$B$4-G28)</f>
        <v/>
      </c>
      <c r="Q28" s="37" t="inlineStr"/>
    </row>
    <row r="29" ht="15.75" customHeight="1" s="45">
      <c r="A29" s="25" t="inlineStr">
        <is>
          <t>BEBE-025</t>
        </is>
      </c>
      <c r="B29" s="25" t="inlineStr">
        <is>
          <t>Sushi Bento</t>
        </is>
      </c>
      <c r="C29" s="25" t="inlineStr">
        <is>
          <t>Multicolor</t>
        </is>
      </c>
      <c r="D29" s="25" t="inlineStr"/>
      <c r="E29" s="34" t="n">
        <v>3</v>
      </c>
      <c r="F29" s="34" t="n">
        <v>3</v>
      </c>
      <c r="G29" s="34" t="n">
        <v>3</v>
      </c>
      <c r="H29" s="34" t="n">
        <v>13</v>
      </c>
      <c r="I29" s="41">
        <f>SUM(E29:H29)</f>
        <v/>
      </c>
      <c r="J29" s="36" t="n">
        <v>22</v>
      </c>
      <c r="K29" s="41">
        <f>IF(OR(I29="",J29=""),"",I29-J29)</f>
        <v/>
      </c>
      <c r="L29" s="34" t="inlineStr"/>
      <c r="M29" s="34" t="inlineStr"/>
      <c r="N29" s="41">
        <f>IF(AND(L29&lt;&gt;"",M29&lt;&gt;""),L29-M29,"")</f>
        <v/>
      </c>
      <c r="O29" s="41">
        <f>IF(I29&lt;=SETTINGS!$B$3,"LOW","OK")</f>
        <v/>
      </c>
      <c r="P29" s="41">
        <f>MAX(0,SETTINGS!$B$4-E29)+MAX(0,SETTINGS!$B$4-F29)+MAX(0,SETTINGS!$B$4-G29)</f>
        <v/>
      </c>
      <c r="Q29" s="37" t="inlineStr"/>
    </row>
    <row r="30" ht="15.75" customHeight="1" s="45">
      <c r="A30" s="25" t="n"/>
      <c r="B30" s="25" t="n"/>
      <c r="C30" s="25" t="n"/>
      <c r="D30" s="25" t="n"/>
      <c r="E30" s="44" t="n"/>
      <c r="F30" s="44" t="n"/>
      <c r="G30" s="44" t="n"/>
      <c r="H30" s="44" t="n"/>
      <c r="I30" s="44" t="n"/>
      <c r="J30" s="44" t="n"/>
      <c r="K30" s="44" t="n"/>
      <c r="L30" s="44" t="n"/>
      <c r="M30" s="44" t="n"/>
      <c r="N30" s="44" t="n"/>
      <c r="O30" s="44" t="n"/>
      <c r="P30" s="44" t="n"/>
      <c r="Q30" s="25" t="n"/>
    </row>
    <row r="31" ht="15.75" customHeight="1" s="45">
      <c r="A31" s="38" t="inlineStr">
        <is>
          <t>Category Totals</t>
        </is>
      </c>
      <c r="B31" s="39" t="inlineStr">
        <is>
          <t>Total Counted</t>
        </is>
      </c>
      <c r="C31" s="40">
        <f>SUM(I5:I31)</f>
        <v/>
      </c>
      <c r="D31" s="39" t="inlineStr">
        <is>
          <t>Original Inventory</t>
        </is>
      </c>
      <c r="E31" s="41">
        <f>SUM(J5:J31)</f>
        <v/>
      </c>
      <c r="F31" s="42" t="inlineStr">
        <is>
          <t>Variance</t>
        </is>
      </c>
      <c r="G31" s="41">
        <f>SUM(K5:K31)</f>
        <v/>
      </c>
      <c r="H31" s="42" t="inlineStr">
        <is>
          <t>Sold Today</t>
        </is>
      </c>
      <c r="I31" s="41">
        <f>SUM(N5:N31)</f>
        <v/>
      </c>
      <c r="J31" s="42" t="inlineStr">
        <is>
          <t>Low Stock SKUs</t>
        </is>
      </c>
      <c r="K31" s="43">
        <f>COUNTIF(O5:O31,"LOW")</f>
        <v/>
      </c>
      <c r="L31" s="42" t="inlineStr">
        <is>
          <t>Refill Needed</t>
        </is>
      </c>
      <c r="M31" s="41">
        <f>SUM(P5:P31)</f>
        <v/>
      </c>
      <c r="N31" s="44" t="n"/>
      <c r="O31" s="44" t="n"/>
      <c r="P31" s="44" t="n"/>
      <c r="Q31" s="25" t="n"/>
    </row>
    <row r="32" ht="15.75" customHeight="1" s="45"/>
    <row r="33" ht="15.75" customHeight="1" s="45"/>
    <row r="34" ht="15.75" customHeight="1" s="45"/>
    <row r="35" ht="15.75" customHeight="1" s="45"/>
    <row r="36" ht="15.75" customHeight="1" s="45"/>
    <row r="37" ht="15.75" customHeight="1" s="45"/>
    <row r="38" ht="15.75" customHeight="1" s="45"/>
    <row r="39" ht="15.75" customHeight="1" s="45"/>
    <row r="40" ht="15.75" customHeight="1" s="45"/>
    <row r="41" ht="15.75" customHeight="1" s="45"/>
    <row r="42" ht="15.75" customHeight="1" s="45"/>
    <row r="43" ht="15.75" customHeight="1" s="45"/>
    <row r="44" ht="15.75" customHeight="1" s="45"/>
    <row r="45" ht="15.75" customHeight="1" s="45"/>
    <row r="46" ht="15.75" customHeight="1" s="45"/>
    <row r="47" ht="15.75" customHeight="1" s="45"/>
    <row r="48" ht="15.75" customHeight="1" s="45"/>
    <row r="49" ht="15.75" customHeight="1" s="45"/>
    <row r="50" ht="15.75" customHeight="1" s="45"/>
    <row r="51" ht="15.75" customHeight="1" s="45"/>
    <row r="52" ht="15.75" customHeight="1" s="45"/>
    <row r="53" ht="15.75" customHeight="1" s="45"/>
    <row r="54" ht="15.75" customHeight="1" s="45"/>
    <row r="55" ht="15.75" customHeight="1" s="45"/>
    <row r="56" ht="15.75" customHeight="1" s="45"/>
    <row r="57" ht="15.75" customHeight="1" s="45"/>
    <row r="58" ht="15.75" customHeight="1" s="45"/>
    <row r="59" ht="15.75" customHeight="1" s="45"/>
    <row r="60" ht="15.75" customHeight="1" s="45"/>
    <row r="61" ht="15.75" customHeight="1" s="45"/>
    <row r="62" ht="15.75" customHeight="1" s="45"/>
    <row r="63" ht="15.75" customHeight="1" s="45"/>
    <row r="64" ht="15.75" customHeight="1" s="45"/>
    <row r="65" ht="15.75" customHeight="1" s="45"/>
    <row r="66" ht="15.75" customHeight="1" s="45"/>
    <row r="67" ht="15.75" customHeight="1" s="45"/>
    <row r="68" ht="15.75" customHeight="1" s="45"/>
    <row r="69" ht="15.75" customHeight="1" s="45"/>
    <row r="70" ht="15.75" customHeight="1" s="45"/>
    <row r="71" ht="15.75" customHeight="1" s="45"/>
    <row r="72" ht="15.75" customHeight="1" s="45"/>
    <row r="73" ht="15.75" customHeight="1" s="45"/>
    <row r="74" ht="15.75" customHeight="1" s="45"/>
    <row r="75" ht="15.75" customHeight="1" s="45"/>
    <row r="76" ht="15.75" customHeight="1" s="45"/>
    <row r="77" ht="15.75" customHeight="1" s="45"/>
    <row r="78" ht="15.75" customHeight="1" s="45"/>
    <row r="79" ht="15.75" customHeight="1" s="45"/>
    <row r="80" ht="15.75" customHeight="1" s="45"/>
    <row r="81" ht="15.75" customHeight="1" s="45"/>
    <row r="82" ht="15.75" customHeight="1" s="45"/>
    <row r="83" ht="15.75" customHeight="1" s="45"/>
    <row r="84" ht="15.75" customHeight="1" s="45"/>
    <row r="85" ht="15.75" customHeight="1" s="45"/>
    <row r="86" ht="15.75" customHeight="1" s="45"/>
    <row r="87" ht="15.75" customHeight="1" s="45"/>
    <row r="88" ht="15.75" customHeight="1" s="45"/>
    <row r="89" ht="15.75" customHeight="1" s="45"/>
    <row r="90" ht="15.75" customHeight="1" s="45"/>
    <row r="91" ht="15.75" customHeight="1" s="45"/>
    <row r="92" ht="15.75" customHeight="1" s="45"/>
    <row r="93" ht="15.75" customHeight="1" s="45"/>
    <row r="94" ht="15.75" customHeight="1" s="45"/>
    <row r="95" ht="15.75" customHeight="1" s="45"/>
    <row r="96" ht="15.75" customHeight="1" s="45"/>
    <row r="97" ht="15.75" customHeight="1" s="45"/>
    <row r="98" ht="15.75" customHeight="1" s="45"/>
    <row r="99" ht="15.75" customHeight="1" s="45"/>
    <row r="100" ht="15.75" customHeight="1" s="45"/>
    <row r="101" ht="15.75" customHeight="1" s="45"/>
    <row r="102" ht="15.75" customHeight="1" s="45"/>
    <row r="103" ht="15.75" customHeight="1" s="45"/>
    <row r="104" ht="15.75" customHeight="1" s="45"/>
    <row r="105" ht="15.75" customHeight="1" s="45"/>
    <row r="106" ht="15.75" customHeight="1" s="45"/>
    <row r="107" ht="15.75" customHeight="1" s="45"/>
    <row r="108" ht="15.75" customHeight="1" s="45"/>
    <row r="109" ht="15.75" customHeight="1" s="45"/>
    <row r="110" ht="15.75" customHeight="1" s="45"/>
    <row r="111" ht="15.75" customHeight="1" s="45"/>
    <row r="112" ht="15.75" customHeight="1" s="45"/>
    <row r="113" ht="15.75" customHeight="1" s="45"/>
    <row r="114" ht="15.75" customHeight="1" s="45"/>
    <row r="115" ht="15.75" customHeight="1" s="45"/>
    <row r="116" ht="15.75" customHeight="1" s="45"/>
    <row r="117" ht="15.75" customHeight="1" s="45"/>
    <row r="118" ht="15.75" customHeight="1" s="45"/>
    <row r="119" ht="15.75" customHeight="1" s="45"/>
    <row r="120" ht="15.75" customHeight="1" s="45"/>
    <row r="121" ht="15.75" customHeight="1" s="45"/>
    <row r="122" ht="15.75" customHeight="1" s="45"/>
    <row r="123" ht="15.75" customHeight="1" s="45"/>
    <row r="124" ht="15.75" customHeight="1" s="45"/>
    <row r="125" ht="15.75" customHeight="1" s="45"/>
    <row r="126" ht="15.75" customHeight="1" s="45"/>
    <row r="127" ht="15.75" customHeight="1" s="45"/>
    <row r="128" ht="15.75" customHeight="1" s="45"/>
    <row r="129" ht="15.75" customHeight="1" s="45"/>
    <row r="130" ht="15.75" customHeight="1" s="45"/>
    <row r="131" ht="15.75" customHeight="1" s="45"/>
    <row r="132" ht="15.75" customHeight="1" s="45"/>
    <row r="133" ht="15.75" customHeight="1" s="45"/>
    <row r="134" ht="15.75" customHeight="1" s="45"/>
    <row r="135" ht="15.75" customHeight="1" s="45"/>
    <row r="136" ht="15.75" customHeight="1" s="45"/>
    <row r="137" ht="15.75" customHeight="1" s="45"/>
    <row r="138" ht="15.75" customHeight="1" s="45"/>
    <row r="139" ht="15.75" customHeight="1" s="45"/>
    <row r="140" ht="15.75" customHeight="1" s="45"/>
    <row r="141" ht="15.75" customHeight="1" s="45"/>
    <row r="142" ht="15.75" customHeight="1" s="45"/>
    <row r="143" ht="15.75" customHeight="1" s="45"/>
    <row r="144" ht="15.75" customHeight="1" s="45"/>
    <row r="145" ht="15.75" customHeight="1" s="45"/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2">
    <mergeCell ref="A2:Q2"/>
    <mergeCell ref="A1:Q1"/>
  </mergeCells>
  <conditionalFormatting sqref="O5:O29">
    <cfRule type="expression" priority="1" dxfId="4">
      <formula>$O5="LOW"</formula>
    </cfRule>
  </conditionalFormatting>
  <conditionalFormatting sqref="K5:K29">
    <cfRule type="cellIs" priority="2" operator="lessThan" dxfId="5">
      <formula>0</formula>
    </cfRule>
  </conditionalFormatting>
  <conditionalFormatting sqref="N5:N29">
    <cfRule type="cellIs" priority="3" operator="greaterThan" dxfId="6">
      <formula>0</formula>
    </cfRule>
  </conditionalFormatting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R15"/>
  <sheetViews>
    <sheetView showGridLines="0" workbookViewId="0">
      <selection activeCell="A1" sqref="A1"/>
    </sheetView>
  </sheetViews>
  <sheetFormatPr baseColWidth="8" defaultColWidth="14.43" defaultRowHeight="15" customHeight="1"/>
  <cols>
    <col width="12" customWidth="1" style="45" min="1" max="1"/>
    <col width="22" customWidth="1" style="45" min="2" max="2"/>
    <col width="20" customWidth="1" style="45" min="3" max="3"/>
    <col width="16" customWidth="1" style="45" min="4" max="4"/>
    <col width="10" customWidth="1" style="45" min="5" max="7"/>
    <col width="12" customWidth="1" style="45" min="8" max="9"/>
    <col width="14" customWidth="1" style="45" min="10" max="11"/>
    <col width="11" customWidth="1" style="45" min="12" max="14"/>
    <col width="10" customWidth="1" style="45" min="15" max="15"/>
    <col width="12" customWidth="1" style="45" min="16" max="16"/>
    <col width="18" customWidth="1" style="45" min="17" max="17"/>
    <col width="8.710000000000001" customWidth="1" style="45" min="18" max="26"/>
  </cols>
  <sheetData>
    <row r="1">
      <c r="A1" s="46" t="inlineStr">
        <is>
          <t>BEBEEATS Inventory</t>
        </is>
      </c>
    </row>
    <row r="2">
      <c r="A2" s="49" t="inlineStr">
        <is>
          <t>Update blue cells only. Everything else updates automatically.</t>
        </is>
      </c>
    </row>
    <row r="3">
      <c r="A3" s="25" t="n"/>
      <c r="B3" s="25" t="n"/>
      <c r="C3" s="25" t="n"/>
      <c r="D3" s="25" t="n"/>
      <c r="E3" s="44" t="n"/>
      <c r="F3" s="44" t="n"/>
      <c r="G3" s="44" t="n"/>
      <c r="H3" s="44" t="n"/>
      <c r="I3" s="44" t="n"/>
      <c r="J3" s="44" t="n"/>
      <c r="K3" s="44" t="n"/>
      <c r="L3" s="44" t="n"/>
      <c r="M3" s="44" t="n"/>
      <c r="N3" s="44" t="n"/>
      <c r="O3" s="44" t="n"/>
      <c r="P3" s="44" t="n"/>
      <c r="Q3" s="25" t="n"/>
    </row>
    <row r="4">
      <c r="A4" s="22" t="inlineStr">
        <is>
          <t>SKU</t>
        </is>
      </c>
      <c r="B4" s="22" t="inlineStr">
        <is>
          <t>Item</t>
        </is>
      </c>
      <c r="C4" s="22" t="inlineStr">
        <is>
          <t>Color / Variant</t>
        </is>
      </c>
      <c r="D4" s="22" t="inlineStr">
        <is>
          <t>Tag</t>
        </is>
      </c>
      <c r="E4" s="24" t="inlineStr">
        <is>
          <t>Display A</t>
        </is>
      </c>
      <c r="F4" s="24" t="inlineStr">
        <is>
          <t>Display B</t>
        </is>
      </c>
      <c r="G4" s="24" t="inlineStr">
        <is>
          <t>Display C</t>
        </is>
      </c>
      <c r="H4" s="24" t="inlineStr">
        <is>
          <t>Back Stock</t>
        </is>
      </c>
      <c r="I4" s="24" t="inlineStr">
        <is>
          <t>Total Counted</t>
        </is>
      </c>
      <c r="J4" s="24" t="inlineStr">
        <is>
          <t>Original Inventory</t>
        </is>
      </c>
      <c r="K4" s="24" t="inlineStr">
        <is>
          <t>Variance vs Original</t>
        </is>
      </c>
      <c r="L4" s="24" t="inlineStr">
        <is>
          <t>Day Start</t>
        </is>
      </c>
      <c r="M4" s="24" t="inlineStr">
        <is>
          <t>Day End</t>
        </is>
      </c>
      <c r="N4" s="24" t="inlineStr">
        <is>
          <t>Sold Today</t>
        </is>
      </c>
      <c r="O4" s="24" t="inlineStr">
        <is>
          <t>Low Stock</t>
        </is>
      </c>
      <c r="P4" s="24" t="inlineStr">
        <is>
          <t>Refill Needed</t>
        </is>
      </c>
      <c r="Q4" s="22" t="inlineStr">
        <is>
          <t>Notes</t>
        </is>
      </c>
      <c r="R4" s="0" t="inlineStr">
        <is>
          <t>IP</t>
        </is>
      </c>
    </row>
    <row r="5">
      <c r="A5" s="25" t="inlineStr">
        <is>
          <t>BEBE-001</t>
        </is>
      </c>
      <c r="B5" s="25" t="inlineStr">
        <is>
          <t>Mcdo Fries</t>
        </is>
      </c>
      <c r="C5" s="25" t="inlineStr"/>
      <c r="D5" s="25" t="inlineStr">
        <is>
          <t>Hidden Gem</t>
        </is>
      </c>
      <c r="E5" s="34" t="n">
        <v>8</v>
      </c>
      <c r="F5" s="34" t="n">
        <v>7</v>
      </c>
      <c r="G5" s="34" t="n">
        <v>7</v>
      </c>
      <c r="H5" s="34" t="n">
        <v>0</v>
      </c>
      <c r="I5" s="41">
        <f>SUM(E5:H5)</f>
        <v/>
      </c>
      <c r="J5" s="36" t="n">
        <v>22</v>
      </c>
      <c r="K5" s="41">
        <f>IF(OR(I5="",J5=""),"",I5-J5)</f>
        <v/>
      </c>
      <c r="L5" s="34" t="inlineStr"/>
      <c r="M5" s="34" t="inlineStr"/>
      <c r="N5" s="41">
        <f>IF(AND(L5&lt;&gt;"",M5&lt;&gt;""),L5-M5,"")</f>
        <v/>
      </c>
      <c r="O5" s="41">
        <f>IF(I5&lt;=SETTINGS!$B$3,"LOW","OK")</f>
        <v/>
      </c>
      <c r="P5" s="41">
        <f>MAX(0,SETTINGS!$B$4-E5)+MAX(0,SETTINGS!$B$4-F5)+MAX(0,SETTINGS!$B$4-G5)</f>
        <v/>
      </c>
      <c r="Q5" s="37" t="inlineStr"/>
    </row>
    <row r="6">
      <c r="A6" s="25" t="inlineStr">
        <is>
          <t>BEBE-002</t>
        </is>
      </c>
      <c r="B6" s="25" t="inlineStr">
        <is>
          <t>KFC Chicken</t>
        </is>
      </c>
      <c r="C6" s="25" t="inlineStr"/>
      <c r="D6" s="25" t="inlineStr">
        <is>
          <t>Hidden Gem</t>
        </is>
      </c>
      <c r="E6" s="34" t="n">
        <v>3</v>
      </c>
      <c r="F6" s="34" t="n">
        <v>3</v>
      </c>
      <c r="G6" s="34" t="n">
        <v>3</v>
      </c>
      <c r="H6" s="34" t="n">
        <v>0</v>
      </c>
      <c r="I6" s="41">
        <f>SUM(E6:H6)</f>
        <v/>
      </c>
      <c r="J6" s="36" t="n">
        <v>9</v>
      </c>
      <c r="K6" s="41">
        <f>IF(OR(I6="",J6=""),"",I6-J6)</f>
        <v/>
      </c>
      <c r="L6" s="34" t="inlineStr"/>
      <c r="M6" s="34" t="inlineStr"/>
      <c r="N6" s="41">
        <f>IF(AND(L6&lt;&gt;"",M6&lt;&gt;""),L6-M6,"")</f>
        <v/>
      </c>
      <c r="O6" s="41">
        <f>IF(I6&lt;=SETTINGS!$B$3,"LOW","OK")</f>
        <v/>
      </c>
      <c r="P6" s="41">
        <f>MAX(0,SETTINGS!$B$4-E6)+MAX(0,SETTINGS!$B$4-F6)+MAX(0,SETTINGS!$B$4-G6)</f>
        <v/>
      </c>
      <c r="Q6" s="37" t="inlineStr"/>
    </row>
    <row r="7">
      <c r="A7" s="25" t="inlineStr">
        <is>
          <t>BEBE-003</t>
        </is>
      </c>
      <c r="B7" s="25" t="inlineStr">
        <is>
          <t>Burger</t>
        </is>
      </c>
      <c r="C7" s="25" t="inlineStr"/>
      <c r="D7" s="25" t="inlineStr">
        <is>
          <t>Hidden Gem</t>
        </is>
      </c>
      <c r="E7" s="34" t="n">
        <v>6</v>
      </c>
      <c r="F7" s="34" t="n">
        <v>6</v>
      </c>
      <c r="G7" s="34" t="n">
        <v>5</v>
      </c>
      <c r="H7" s="34" t="n">
        <v>0</v>
      </c>
      <c r="I7" s="41">
        <f>SUM(E7:H7)</f>
        <v/>
      </c>
      <c r="J7" s="36" t="n">
        <v>17</v>
      </c>
      <c r="K7" s="41">
        <f>IF(OR(I7="",J7=""),"",I7-J7)</f>
        <v/>
      </c>
      <c r="L7" s="34" t="inlineStr"/>
      <c r="M7" s="34" t="inlineStr"/>
      <c r="N7" s="41">
        <f>IF(AND(L7&lt;&gt;"",M7&lt;&gt;""),L7-M7,"")</f>
        <v/>
      </c>
      <c r="O7" s="41">
        <f>IF(I7&lt;=SETTINGS!$B$3,"LOW","OK")</f>
        <v/>
      </c>
      <c r="P7" s="41">
        <f>MAX(0,SETTINGS!$B$4-E7)+MAX(0,SETTINGS!$B$4-F7)+MAX(0,SETTINGS!$B$4-G7)</f>
        <v/>
      </c>
      <c r="Q7" s="37" t="inlineStr"/>
    </row>
    <row r="8">
      <c r="A8" s="25" t="inlineStr">
        <is>
          <t>BEBE-004</t>
        </is>
      </c>
      <c r="B8" s="25" t="inlineStr">
        <is>
          <t>Pizza</t>
        </is>
      </c>
      <c r="C8" s="25" t="inlineStr"/>
      <c r="D8" s="25" t="inlineStr">
        <is>
          <t>Hidden Gem</t>
        </is>
      </c>
      <c r="E8" s="34" t="n">
        <v>3</v>
      </c>
      <c r="F8" s="34" t="n">
        <v>3</v>
      </c>
      <c r="G8" s="34" t="n">
        <v>3</v>
      </c>
      <c r="H8" s="34" t="n">
        <v>0</v>
      </c>
      <c r="I8" s="41">
        <f>SUM(E8:H8)</f>
        <v/>
      </c>
      <c r="J8" s="36" t="n">
        <v>9</v>
      </c>
      <c r="K8" s="41">
        <f>IF(OR(I8="",J8=""),"",I8-J8)</f>
        <v/>
      </c>
      <c r="L8" s="34" t="inlineStr"/>
      <c r="M8" s="34" t="inlineStr"/>
      <c r="N8" s="41">
        <f>IF(AND(L8&lt;&gt;"",M8&lt;&gt;""),L8-M8,"")</f>
        <v/>
      </c>
      <c r="O8" s="41">
        <f>IF(I8&lt;=SETTINGS!$B$3,"LOW","OK")</f>
        <v/>
      </c>
      <c r="P8" s="41">
        <f>MAX(0,SETTINGS!$B$4-E8)+MAX(0,SETTINGS!$B$4-F8)+MAX(0,SETTINGS!$B$4-G8)</f>
        <v/>
      </c>
      <c r="Q8" s="37" t="inlineStr"/>
    </row>
    <row r="9">
      <c r="A9" s="25" t="inlineStr">
        <is>
          <t>BEBE-005</t>
        </is>
      </c>
      <c r="B9" s="25" t="inlineStr">
        <is>
          <t>Avocado</t>
        </is>
      </c>
      <c r="C9" s="25" t="inlineStr"/>
      <c r="D9" s="25" t="inlineStr">
        <is>
          <t>Steady Pick</t>
        </is>
      </c>
      <c r="E9" s="34" t="n">
        <v>6</v>
      </c>
      <c r="F9" s="34" t="n">
        <v>6</v>
      </c>
      <c r="G9" s="34" t="n">
        <v>5</v>
      </c>
      <c r="H9" s="34" t="n">
        <v>0</v>
      </c>
      <c r="I9" s="41">
        <f>SUM(E9:H9)</f>
        <v/>
      </c>
      <c r="J9" s="36" t="n">
        <v>17</v>
      </c>
      <c r="K9" s="41">
        <f>IF(OR(I9="",J9=""),"",I9-J9)</f>
        <v/>
      </c>
      <c r="L9" s="34" t="inlineStr"/>
      <c r="M9" s="34" t="inlineStr"/>
      <c r="N9" s="41">
        <f>IF(AND(L9&lt;&gt;"",M9&lt;&gt;""),L9-M9,"")</f>
        <v/>
      </c>
      <c r="O9" s="41">
        <f>IF(I9&lt;=SETTINGS!$B$3,"LOW","OK")</f>
        <v/>
      </c>
      <c r="P9" s="41">
        <f>MAX(0,SETTINGS!$B$4-E9)+MAX(0,SETTINGS!$B$4-F9)+MAX(0,SETTINGS!$B$4-G9)</f>
        <v/>
      </c>
      <c r="Q9" s="37" t="inlineStr"/>
    </row>
    <row r="10">
      <c r="A10" s="25" t="inlineStr">
        <is>
          <t>BEBE-006</t>
        </is>
      </c>
      <c r="B10" s="25" t="inlineStr">
        <is>
          <t>Soju</t>
        </is>
      </c>
      <c r="C10" s="25" t="inlineStr"/>
      <c r="D10" s="25" t="inlineStr">
        <is>
          <t>Hidden Gem</t>
        </is>
      </c>
      <c r="E10" s="34" t="n">
        <v>3</v>
      </c>
      <c r="F10" s="34" t="n">
        <v>4</v>
      </c>
      <c r="G10" s="34" t="n">
        <v>3</v>
      </c>
      <c r="H10" s="34" t="n">
        <v>0</v>
      </c>
      <c r="I10" s="41">
        <f>SUM(E10:H10)</f>
        <v/>
      </c>
      <c r="J10" s="36" t="n">
        <v>10</v>
      </c>
      <c r="K10" s="41">
        <f>IF(OR(I10="",J10=""),"",I10-J10)</f>
        <v/>
      </c>
      <c r="L10" s="34" t="inlineStr"/>
      <c r="M10" s="34" t="inlineStr"/>
      <c r="N10" s="41">
        <f>IF(AND(L10&lt;&gt;"",M10&lt;&gt;""),L10-M10,"")</f>
        <v/>
      </c>
      <c r="O10" s="41">
        <f>IF(I10&lt;=SETTINGS!$B$3,"LOW","OK")</f>
        <v/>
      </c>
      <c r="P10" s="41">
        <f>MAX(0,SETTINGS!$B$4-E10)+MAX(0,SETTINGS!$B$4-F10)+MAX(0,SETTINGS!$B$4-G10)</f>
        <v/>
      </c>
      <c r="Q10" s="37" t="inlineStr"/>
    </row>
    <row r="11">
      <c r="A11" s="25" t="inlineStr">
        <is>
          <t>BEBE-007</t>
        </is>
      </c>
      <c r="B11" s="25" t="inlineStr">
        <is>
          <t>Yakult</t>
        </is>
      </c>
      <c r="C11" s="25" t="inlineStr"/>
      <c r="D11" s="25" t="inlineStr">
        <is>
          <t>Steady Pick</t>
        </is>
      </c>
      <c r="E11" s="34" t="n">
        <v>8</v>
      </c>
      <c r="F11" s="34" t="n">
        <v>8</v>
      </c>
      <c r="G11" s="34" t="n">
        <v>8</v>
      </c>
      <c r="H11" s="34" t="n">
        <v>6</v>
      </c>
      <c r="I11" s="41">
        <f>SUM(E11:H11)</f>
        <v/>
      </c>
      <c r="J11" s="36" t="n">
        <v>30</v>
      </c>
      <c r="K11" s="41">
        <f>IF(OR(I11="",J11=""),"",I11-J11)</f>
        <v/>
      </c>
      <c r="L11" s="34" t="inlineStr"/>
      <c r="M11" s="34" t="inlineStr"/>
      <c r="N11" s="41">
        <f>IF(AND(L11&lt;&gt;"",M11&lt;&gt;""),L11-M11,"")</f>
        <v/>
      </c>
      <c r="O11" s="41">
        <f>IF(I11&lt;=SETTINGS!$B$3,"LOW","OK")</f>
        <v/>
      </c>
      <c r="P11" s="41">
        <f>MAX(0,SETTINGS!$B$4-E11)+MAX(0,SETTINGS!$B$4-F11)+MAX(0,SETTINGS!$B$4-G11)</f>
        <v/>
      </c>
      <c r="Q11" s="37" t="inlineStr"/>
    </row>
    <row r="12">
      <c r="A12" s="25" t="inlineStr">
        <is>
          <t>BEBE-008</t>
        </is>
      </c>
      <c r="B12" s="25" t="inlineStr">
        <is>
          <t>Hotdog</t>
        </is>
      </c>
      <c r="C12" s="25" t="inlineStr"/>
      <c r="D12" s="25" t="inlineStr">
        <is>
          <t>Best Seller</t>
        </is>
      </c>
      <c r="E12" s="34" t="n">
        <v>7</v>
      </c>
      <c r="F12" s="34" t="n">
        <v>7</v>
      </c>
      <c r="G12" s="34" t="n">
        <v>7</v>
      </c>
      <c r="H12" s="34" t="n">
        <v>0</v>
      </c>
      <c r="I12" s="41">
        <f>SUM(E12:H12)</f>
        <v/>
      </c>
      <c r="J12" s="36" t="n">
        <v>21</v>
      </c>
      <c r="K12" s="41">
        <f>IF(OR(I12="",J12=""),"",I12-J12)</f>
        <v/>
      </c>
      <c r="L12" s="34" t="inlineStr"/>
      <c r="M12" s="34" t="inlineStr"/>
      <c r="N12" s="41">
        <f>IF(AND(L12&lt;&gt;"",M12&lt;&gt;""),L12-M12,"")</f>
        <v/>
      </c>
      <c r="O12" s="41">
        <f>IF(I12&lt;=SETTINGS!$B$3,"LOW","OK")</f>
        <v/>
      </c>
      <c r="P12" s="41">
        <f>MAX(0,SETTINGS!$B$4-E12)+MAX(0,SETTINGS!$B$4-F12)+MAX(0,SETTINGS!$B$4-G12)</f>
        <v/>
      </c>
      <c r="Q12" s="37" t="inlineStr"/>
    </row>
    <row r="13">
      <c r="A13" s="25" t="inlineStr">
        <is>
          <t>BEBE-009</t>
        </is>
      </c>
      <c r="B13" s="25" t="inlineStr">
        <is>
          <t>Egg Carton</t>
        </is>
      </c>
      <c r="C13" s="25" t="inlineStr"/>
      <c r="D13" s="25" t="inlineStr">
        <is>
          <t>Best Seller</t>
        </is>
      </c>
      <c r="E13" s="34" t="n">
        <v>1</v>
      </c>
      <c r="F13" s="34" t="n">
        <v>1</v>
      </c>
      <c r="G13" s="34" t="n">
        <v>0</v>
      </c>
      <c r="H13" s="34" t="n">
        <v>0</v>
      </c>
      <c r="I13" s="41">
        <f>SUM(E13:H13)</f>
        <v/>
      </c>
      <c r="J13" s="36" t="n">
        <v>2</v>
      </c>
      <c r="K13" s="41">
        <f>IF(OR(I13="",J13=""),"",I13-J13)</f>
        <v/>
      </c>
      <c r="L13" s="34" t="inlineStr"/>
      <c r="M13" s="34" t="inlineStr"/>
      <c r="N13" s="41">
        <f>IF(AND(L13&lt;&gt;"",M13&lt;&gt;""),L13-M13,"")</f>
        <v/>
      </c>
      <c r="O13" s="41">
        <f>IF(I13&lt;=SETTINGS!$B$3,"LOW","OK")</f>
        <v/>
      </c>
      <c r="P13" s="41">
        <f>MAX(0,SETTINGS!$B$4-E13)+MAX(0,SETTINGS!$B$4-F13)+MAX(0,SETTINGS!$B$4-G13)</f>
        <v/>
      </c>
      <c r="Q13" s="37" t="inlineStr"/>
    </row>
    <row r="14">
      <c r="A14" s="25" t="n"/>
      <c r="B14" s="25" t="n"/>
      <c r="C14" s="25" t="n"/>
      <c r="D14" s="25" t="n"/>
      <c r="E14" s="44" t="n"/>
      <c r="F14" s="44" t="n"/>
      <c r="G14" s="44" t="n"/>
      <c r="H14" s="44" t="n"/>
      <c r="I14" s="44" t="n"/>
      <c r="J14" s="44" t="n"/>
      <c r="K14" s="44" t="n"/>
      <c r="L14" s="44" t="n"/>
      <c r="M14" s="44" t="n"/>
      <c r="N14" s="44" t="n"/>
      <c r="O14" s="44" t="n"/>
      <c r="P14" s="44" t="n"/>
      <c r="Q14" s="25" t="n"/>
    </row>
    <row r="15">
      <c r="A15" s="38" t="inlineStr">
        <is>
          <t>Category Totals</t>
        </is>
      </c>
      <c r="B15" s="39" t="inlineStr">
        <is>
          <t>Total Counted</t>
        </is>
      </c>
      <c r="C15" s="40">
        <f>SUM(I5:I15)</f>
        <v/>
      </c>
      <c r="D15" s="39" t="inlineStr">
        <is>
          <t>Original Inventory</t>
        </is>
      </c>
      <c r="E15" s="41">
        <f>SUM(J5:J15)</f>
        <v/>
      </c>
      <c r="F15" s="42" t="inlineStr">
        <is>
          <t>Variance</t>
        </is>
      </c>
      <c r="G15" s="41">
        <f>SUM(K5:K15)</f>
        <v/>
      </c>
      <c r="H15" s="42" t="inlineStr">
        <is>
          <t>Sold Today</t>
        </is>
      </c>
      <c r="I15" s="41">
        <f>SUM(N5:N15)</f>
        <v/>
      </c>
      <c r="J15" s="42" t="inlineStr">
        <is>
          <t>Low Stock SKUs</t>
        </is>
      </c>
      <c r="K15" s="43">
        <f>COUNTIF(O5:O15,"LOW")</f>
        <v/>
      </c>
      <c r="L15" s="42" t="inlineStr">
        <is>
          <t>Refill Needed</t>
        </is>
      </c>
      <c r="M15" s="41">
        <f>SUM(P5:P15)</f>
        <v/>
      </c>
      <c r="N15" s="44" t="n"/>
      <c r="O15" s="44" t="n"/>
      <c r="P15" s="44" t="n"/>
      <c r="Q15" s="25" t="n"/>
    </row>
    <row r="21" ht="15.75" customHeight="1" s="45"/>
    <row r="22" ht="15.75" customHeight="1" s="45"/>
    <row r="23" ht="15.75" customHeight="1" s="45"/>
    <row r="24" ht="15.75" customHeight="1" s="45"/>
    <row r="25" ht="15.75" customHeight="1" s="45"/>
    <row r="26" ht="15.75" customHeight="1" s="45"/>
    <row r="27" ht="15.75" customHeight="1" s="45"/>
    <row r="28" ht="15.75" customHeight="1" s="45"/>
    <row r="29" ht="15.75" customHeight="1" s="45"/>
    <row r="30" ht="15.75" customHeight="1" s="45"/>
    <row r="31" ht="15.75" customHeight="1" s="45"/>
    <row r="32" ht="15.75" customHeight="1" s="45"/>
    <row r="33" ht="15.75" customHeight="1" s="45"/>
    <row r="34" ht="15.75" customHeight="1" s="45"/>
    <row r="35" ht="15.75" customHeight="1" s="45"/>
    <row r="36" ht="15.75" customHeight="1" s="45"/>
    <row r="37" ht="15.75" customHeight="1" s="45"/>
    <row r="38" ht="15.75" customHeight="1" s="45"/>
    <row r="39" ht="15.75" customHeight="1" s="45"/>
    <row r="40" ht="15.75" customHeight="1" s="45"/>
    <row r="41" ht="15.75" customHeight="1" s="45"/>
    <row r="42" ht="15.75" customHeight="1" s="45"/>
    <row r="43" ht="15.75" customHeight="1" s="45"/>
    <row r="44" ht="15.75" customHeight="1" s="45"/>
    <row r="45" ht="15.75" customHeight="1" s="45"/>
    <row r="46" ht="15.75" customHeight="1" s="45"/>
    <row r="47" ht="15.75" customHeight="1" s="45"/>
    <row r="48" ht="15.75" customHeight="1" s="45"/>
    <row r="49" ht="15.75" customHeight="1" s="45"/>
    <row r="50" ht="15.75" customHeight="1" s="45"/>
    <row r="51" ht="15.75" customHeight="1" s="45"/>
    <row r="52" ht="15.75" customHeight="1" s="45"/>
    <row r="53" ht="15.75" customHeight="1" s="45"/>
    <row r="54" ht="15.75" customHeight="1" s="45"/>
    <row r="55" ht="15.75" customHeight="1" s="45"/>
    <row r="56" ht="15.75" customHeight="1" s="45"/>
    <row r="57" ht="15.75" customHeight="1" s="45"/>
    <row r="58" ht="15.75" customHeight="1" s="45"/>
    <row r="59" ht="15.75" customHeight="1" s="45"/>
    <row r="60" ht="15.75" customHeight="1" s="45"/>
    <row r="61" ht="15.75" customHeight="1" s="45"/>
    <row r="62" ht="15.75" customHeight="1" s="45"/>
    <row r="63" ht="15.75" customHeight="1" s="45"/>
    <row r="64" ht="15.75" customHeight="1" s="45"/>
    <row r="65" ht="15.75" customHeight="1" s="45"/>
    <row r="66" ht="15.75" customHeight="1" s="45"/>
    <row r="67" ht="15.75" customHeight="1" s="45"/>
    <row r="68" ht="15.75" customHeight="1" s="45"/>
    <row r="69" ht="15.75" customHeight="1" s="45"/>
    <row r="70" ht="15.75" customHeight="1" s="45"/>
    <row r="71" ht="15.75" customHeight="1" s="45"/>
    <row r="72" ht="15.75" customHeight="1" s="45"/>
    <row r="73" ht="15.75" customHeight="1" s="45"/>
    <row r="74" ht="15.75" customHeight="1" s="45"/>
    <row r="75" ht="15.75" customHeight="1" s="45"/>
    <row r="76" ht="15.75" customHeight="1" s="45"/>
    <row r="77" ht="15.75" customHeight="1" s="45"/>
    <row r="78" ht="15.75" customHeight="1" s="45"/>
    <row r="79" ht="15.75" customHeight="1" s="45"/>
    <row r="80" ht="15.75" customHeight="1" s="45"/>
    <row r="81" ht="15.75" customHeight="1" s="45"/>
    <row r="82" ht="15.75" customHeight="1" s="45"/>
    <row r="83" ht="15.75" customHeight="1" s="45"/>
    <row r="84" ht="15.75" customHeight="1" s="45"/>
    <row r="85" ht="15.75" customHeight="1" s="45"/>
    <row r="86" ht="15.75" customHeight="1" s="45"/>
    <row r="87" ht="15.75" customHeight="1" s="45"/>
    <row r="88" ht="15.75" customHeight="1" s="45"/>
    <row r="89" ht="15.75" customHeight="1" s="45"/>
    <row r="90" ht="15.75" customHeight="1" s="45"/>
    <row r="91" ht="15.75" customHeight="1" s="45"/>
    <row r="92" ht="15.75" customHeight="1" s="45"/>
    <row r="93" ht="15.75" customHeight="1" s="45"/>
    <row r="94" ht="15.75" customHeight="1" s="45"/>
    <row r="95" ht="15.75" customHeight="1" s="45"/>
    <row r="96" ht="15.75" customHeight="1" s="45"/>
    <row r="97" ht="15.75" customHeight="1" s="45"/>
    <row r="98" ht="15.75" customHeight="1" s="45"/>
    <row r="99" ht="15.75" customHeight="1" s="45"/>
    <row r="100" ht="15.75" customHeight="1" s="45"/>
    <row r="101" ht="15.75" customHeight="1" s="45"/>
    <row r="102" ht="15.75" customHeight="1" s="45"/>
    <row r="103" ht="15.75" customHeight="1" s="45"/>
    <row r="104" ht="15.75" customHeight="1" s="45"/>
    <row r="105" ht="15.75" customHeight="1" s="45"/>
    <row r="106" ht="15.75" customHeight="1" s="45"/>
    <row r="107" ht="15.75" customHeight="1" s="45"/>
    <row r="108" ht="15.75" customHeight="1" s="45"/>
    <row r="109" ht="15.75" customHeight="1" s="45"/>
    <row r="110" ht="15.75" customHeight="1" s="45"/>
    <row r="111" ht="15.75" customHeight="1" s="45"/>
    <row r="112" ht="15.75" customHeight="1" s="45"/>
    <row r="113" ht="15.75" customHeight="1" s="45"/>
    <row r="114" ht="15.75" customHeight="1" s="45"/>
    <row r="115" ht="15.75" customHeight="1" s="45"/>
    <row r="116" ht="15.75" customHeight="1" s="45"/>
    <row r="117" ht="15.75" customHeight="1" s="45"/>
    <row r="118" ht="15.75" customHeight="1" s="45"/>
    <row r="119" ht="15.75" customHeight="1" s="45"/>
    <row r="120" ht="15.75" customHeight="1" s="45"/>
    <row r="121" ht="15.75" customHeight="1" s="45"/>
    <row r="122" ht="15.75" customHeight="1" s="45"/>
    <row r="123" ht="15.75" customHeight="1" s="45"/>
    <row r="124" ht="15.75" customHeight="1" s="45"/>
    <row r="125" ht="15.75" customHeight="1" s="45"/>
    <row r="126" ht="15.75" customHeight="1" s="45"/>
    <row r="127" ht="15.75" customHeight="1" s="45"/>
    <row r="128" ht="15.75" customHeight="1" s="45"/>
    <row r="129" ht="15.75" customHeight="1" s="45"/>
    <row r="130" ht="15.75" customHeight="1" s="45"/>
    <row r="131" ht="15.75" customHeight="1" s="45"/>
    <row r="132" ht="15.75" customHeight="1" s="45"/>
    <row r="133" ht="15.75" customHeight="1" s="45"/>
    <row r="134" ht="15.75" customHeight="1" s="45"/>
    <row r="135" ht="15.75" customHeight="1" s="45"/>
    <row r="136" ht="15.75" customHeight="1" s="45"/>
    <row r="137" ht="15.75" customHeight="1" s="45"/>
    <row r="138" ht="15.75" customHeight="1" s="45"/>
    <row r="139" ht="15.75" customHeight="1" s="45"/>
    <row r="140" ht="15.75" customHeight="1" s="45"/>
    <row r="141" ht="15.75" customHeight="1" s="45"/>
    <row r="142" ht="15.75" customHeight="1" s="45"/>
    <row r="143" ht="15.75" customHeight="1" s="45"/>
    <row r="144" ht="15.75" customHeight="1" s="45"/>
    <row r="145" ht="15.75" customHeight="1" s="45"/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2">
    <mergeCell ref="A2:Q2"/>
    <mergeCell ref="A1:Q1"/>
  </mergeCells>
  <conditionalFormatting sqref="O5:O13">
    <cfRule type="expression" priority="1" dxfId="4">
      <formula>$O5="LOW"</formula>
    </cfRule>
  </conditionalFormatting>
  <conditionalFormatting sqref="K5:K13">
    <cfRule type="cellIs" priority="2" operator="lessThan" dxfId="5">
      <formula>0</formula>
    </cfRule>
  </conditionalFormatting>
  <conditionalFormatting sqref="N5:N13">
    <cfRule type="cellIs" priority="3" operator="greaterThan" dxfId="6">
      <formula>0</formula>
    </cfRule>
  </conditionalFormatting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R27"/>
  <sheetViews>
    <sheetView showGridLines="0" workbookViewId="0">
      <selection activeCell="A1" sqref="A1"/>
    </sheetView>
  </sheetViews>
  <sheetFormatPr baseColWidth="8" defaultColWidth="14.43" defaultRowHeight="15" customHeight="1"/>
  <cols>
    <col width="12" customWidth="1" style="45" min="1" max="1"/>
    <col width="22" customWidth="1" style="45" min="2" max="2"/>
    <col width="20" customWidth="1" style="45" min="3" max="3"/>
    <col width="16" customWidth="1" style="45" min="4" max="4"/>
    <col width="10" customWidth="1" style="45" min="5" max="7"/>
    <col width="12" customWidth="1" style="45" min="8" max="9"/>
    <col width="14" customWidth="1" style="45" min="10" max="11"/>
    <col width="11" customWidth="1" style="45" min="12" max="14"/>
    <col width="10" customWidth="1" style="45" min="15" max="15"/>
    <col width="12" customWidth="1" style="45" min="16" max="16"/>
    <col width="18" customWidth="1" style="45" min="17" max="17"/>
    <col width="8.710000000000001" customWidth="1" style="45" min="18" max="26"/>
  </cols>
  <sheetData>
    <row r="1">
      <c r="A1" s="46" t="inlineStr">
        <is>
          <t>BEBEPLAYS Inventory</t>
        </is>
      </c>
    </row>
    <row r="2">
      <c r="A2" s="49" t="inlineStr">
        <is>
          <t>Update blue cells only. Everything else updates automatically.</t>
        </is>
      </c>
    </row>
    <row r="3">
      <c r="A3" s="25" t="n"/>
      <c r="B3" s="25" t="n"/>
      <c r="C3" s="25" t="n"/>
      <c r="D3" s="25" t="n"/>
      <c r="E3" s="44" t="n"/>
      <c r="F3" s="44" t="n"/>
      <c r="G3" s="44" t="n"/>
      <c r="H3" s="44" t="n"/>
      <c r="I3" s="44" t="n"/>
      <c r="J3" s="44" t="n"/>
      <c r="K3" s="44" t="n"/>
      <c r="L3" s="44" t="n"/>
      <c r="M3" s="44" t="n"/>
      <c r="N3" s="44" t="n"/>
      <c r="O3" s="44" t="n"/>
      <c r="P3" s="44" t="n"/>
      <c r="Q3" s="25" t="n"/>
    </row>
    <row r="4">
      <c r="A4" s="22" t="inlineStr">
        <is>
          <t>SKU</t>
        </is>
      </c>
      <c r="B4" s="22" t="inlineStr">
        <is>
          <t>Item</t>
        </is>
      </c>
      <c r="C4" s="22" t="inlineStr">
        <is>
          <t>Color / Variant</t>
        </is>
      </c>
      <c r="D4" s="22" t="inlineStr">
        <is>
          <t>Tag</t>
        </is>
      </c>
      <c r="E4" s="24" t="inlineStr">
        <is>
          <t>Display A</t>
        </is>
      </c>
      <c r="F4" s="24" t="inlineStr">
        <is>
          <t>Display B</t>
        </is>
      </c>
      <c r="G4" s="24" t="inlineStr">
        <is>
          <t>Display C</t>
        </is>
      </c>
      <c r="H4" s="24" t="inlineStr">
        <is>
          <t>Back Stock</t>
        </is>
      </c>
      <c r="I4" s="24" t="inlineStr">
        <is>
          <t>Total Counted</t>
        </is>
      </c>
      <c r="J4" s="24" t="inlineStr">
        <is>
          <t>Original Inventory</t>
        </is>
      </c>
      <c r="K4" s="24" t="inlineStr">
        <is>
          <t>Variance vs Original</t>
        </is>
      </c>
      <c r="L4" s="24" t="inlineStr">
        <is>
          <t>Day Start</t>
        </is>
      </c>
      <c r="M4" s="24" t="inlineStr">
        <is>
          <t>Day End</t>
        </is>
      </c>
      <c r="N4" s="24" t="inlineStr">
        <is>
          <t>Sold Today</t>
        </is>
      </c>
      <c r="O4" s="24" t="inlineStr">
        <is>
          <t>Low Stock</t>
        </is>
      </c>
      <c r="P4" s="24" t="inlineStr">
        <is>
          <t>Refill Needed</t>
        </is>
      </c>
      <c r="Q4" s="22" t="inlineStr">
        <is>
          <t>Notes</t>
        </is>
      </c>
      <c r="R4" s="0" t="inlineStr">
        <is>
          <t>IP</t>
        </is>
      </c>
    </row>
    <row r="5">
      <c r="A5" s="25" t="inlineStr">
        <is>
          <t>BEBE-001</t>
        </is>
      </c>
      <c r="B5" s="25" t="inlineStr">
        <is>
          <t>Gear Shifter</t>
        </is>
      </c>
      <c r="C5" s="25" t="inlineStr"/>
      <c r="D5" s="25" t="inlineStr">
        <is>
          <t>Steady Pick</t>
        </is>
      </c>
      <c r="E5" s="34" t="n">
        <v>6</v>
      </c>
      <c r="F5" s="34" t="n">
        <v>6</v>
      </c>
      <c r="G5" s="34" t="n">
        <v>6</v>
      </c>
      <c r="H5" s="34" t="n">
        <v>7</v>
      </c>
      <c r="I5" s="41">
        <f>SUM(E5:H5)</f>
        <v/>
      </c>
      <c r="J5" s="36" t="n">
        <v>25</v>
      </c>
      <c r="K5" s="41">
        <f>IF(OR(I5="",J5=""),"",I5-J5)</f>
        <v/>
      </c>
      <c r="L5" s="34" t="inlineStr"/>
      <c r="M5" s="34" t="inlineStr"/>
      <c r="N5" s="41">
        <f>IF(AND(L5&lt;&gt;"",M5&lt;&gt;""),L5-M5,"")</f>
        <v/>
      </c>
      <c r="O5" s="41">
        <f>IF(I5&lt;=SETTINGS!$B$3,"LOW","OK")</f>
        <v/>
      </c>
      <c r="P5" s="41">
        <f>MAX(0,SETTINGS!$B$4-E5)+MAX(0,SETTINGS!$B$4-F5)+MAX(0,SETTINGS!$B$4-G5)</f>
        <v/>
      </c>
      <c r="Q5" s="37" t="inlineStr"/>
    </row>
    <row r="6">
      <c r="A6" s="25" t="inlineStr">
        <is>
          <t>BEBE-002</t>
        </is>
      </c>
      <c r="B6" s="25" t="inlineStr">
        <is>
          <t>WD40</t>
        </is>
      </c>
      <c r="C6" s="25" t="inlineStr"/>
      <c r="D6" s="25" t="inlineStr">
        <is>
          <t>Steady Pick</t>
        </is>
      </c>
      <c r="E6" s="34" t="n">
        <v>4</v>
      </c>
      <c r="F6" s="34" t="n">
        <v>4</v>
      </c>
      <c r="G6" s="34" t="n">
        <v>3</v>
      </c>
      <c r="H6" s="34" t="n">
        <v>0</v>
      </c>
      <c r="I6" s="41">
        <f>SUM(E6:H6)</f>
        <v/>
      </c>
      <c r="J6" s="36" t="n">
        <v>11</v>
      </c>
      <c r="K6" s="41">
        <f>IF(OR(I6="",J6=""),"",I6-J6)</f>
        <v/>
      </c>
      <c r="L6" s="34" t="inlineStr"/>
      <c r="M6" s="34" t="inlineStr"/>
      <c r="N6" s="41">
        <f>IF(AND(L6&lt;&gt;"",M6&lt;&gt;""),L6-M6,"")</f>
        <v/>
      </c>
      <c r="O6" s="41">
        <f>IF(I6&lt;=SETTINGS!$B$3,"LOW","OK")</f>
        <v/>
      </c>
      <c r="P6" s="41">
        <f>MAX(0,SETTINGS!$B$4-E6)+MAX(0,SETTINGS!$B$4-F6)+MAX(0,SETTINGS!$B$4-G6)</f>
        <v/>
      </c>
      <c r="Q6" s="37" t="inlineStr"/>
    </row>
    <row r="7">
      <c r="A7" s="25" t="inlineStr">
        <is>
          <t>BEBE-003</t>
        </is>
      </c>
      <c r="B7" s="25" t="inlineStr">
        <is>
          <t>67</t>
        </is>
      </c>
      <c r="C7" s="25" t="inlineStr"/>
      <c r="D7" s="25" t="inlineStr">
        <is>
          <t>Best Seller</t>
        </is>
      </c>
      <c r="E7" s="34" t="n">
        <v>7</v>
      </c>
      <c r="F7" s="34" t="n">
        <v>7</v>
      </c>
      <c r="G7" s="34" t="n">
        <v>7</v>
      </c>
      <c r="H7" s="34" t="n">
        <v>6</v>
      </c>
      <c r="I7" s="41">
        <f>SUM(E7:H7)</f>
        <v/>
      </c>
      <c r="J7" s="36" t="n">
        <v>27</v>
      </c>
      <c r="K7" s="41">
        <f>IF(OR(I7="",J7=""),"",I7-J7)</f>
        <v/>
      </c>
      <c r="L7" s="34" t="inlineStr"/>
      <c r="M7" s="34" t="inlineStr"/>
      <c r="N7" s="41">
        <f>IF(AND(L7&lt;&gt;"",M7&lt;&gt;""),L7-M7,"")</f>
        <v/>
      </c>
      <c r="O7" s="41">
        <f>IF(I7&lt;=SETTINGS!$B$3,"LOW","OK")</f>
        <v/>
      </c>
      <c r="P7" s="41">
        <f>MAX(0,SETTINGS!$B$4-E7)+MAX(0,SETTINGS!$B$4-F7)+MAX(0,SETTINGS!$B$4-G7)</f>
        <v/>
      </c>
      <c r="Q7" s="37" t="inlineStr"/>
    </row>
    <row r="8">
      <c r="A8" s="25" t="inlineStr">
        <is>
          <t>BEBE-004</t>
        </is>
      </c>
      <c r="B8" s="25" t="inlineStr">
        <is>
          <t>Syringe</t>
        </is>
      </c>
      <c r="C8" s="25" t="inlineStr"/>
      <c r="D8" s="25" t="inlineStr">
        <is>
          <t>Hidden Gems</t>
        </is>
      </c>
      <c r="E8" s="34" t="n">
        <v>5</v>
      </c>
      <c r="F8" s="34" t="n">
        <v>5</v>
      </c>
      <c r="G8" s="34" t="n">
        <v>5</v>
      </c>
      <c r="H8" s="34" t="n">
        <v>6</v>
      </c>
      <c r="I8" s="41">
        <f>SUM(E8:H8)</f>
        <v/>
      </c>
      <c r="J8" s="36" t="n">
        <v>21</v>
      </c>
      <c r="K8" s="41">
        <f>IF(OR(I8="",J8=""),"",I8-J8)</f>
        <v/>
      </c>
      <c r="L8" s="34" t="inlineStr"/>
      <c r="M8" s="34" t="inlineStr"/>
      <c r="N8" s="41">
        <f>IF(AND(L8&lt;&gt;"",M8&lt;&gt;""),L8-M8,"")</f>
        <v/>
      </c>
      <c r="O8" s="41">
        <f>IF(I8&lt;=SETTINGS!$B$3,"LOW","OK")</f>
        <v/>
      </c>
      <c r="P8" s="41">
        <f>MAX(0,SETTINGS!$B$4-E8)+MAX(0,SETTINGS!$B$4-F8)+MAX(0,SETTINGS!$B$4-G8)</f>
        <v/>
      </c>
      <c r="Q8" s="37" t="inlineStr"/>
    </row>
    <row r="9">
      <c r="A9" s="25" t="inlineStr">
        <is>
          <t>BEBE-005</t>
        </is>
      </c>
      <c r="B9" s="25" t="inlineStr">
        <is>
          <t>Molar Tooth</t>
        </is>
      </c>
      <c r="C9" s="25" t="inlineStr"/>
      <c r="D9" s="25" t="inlineStr">
        <is>
          <t>Hidden Gems</t>
        </is>
      </c>
      <c r="E9" s="34" t="n">
        <v>1</v>
      </c>
      <c r="F9" s="34" t="n">
        <v>1</v>
      </c>
      <c r="G9" s="34" t="n">
        <v>1</v>
      </c>
      <c r="H9" s="34" t="n">
        <v>0</v>
      </c>
      <c r="I9" s="41">
        <f>SUM(E9:H9)</f>
        <v/>
      </c>
      <c r="J9" s="36" t="n">
        <v>3</v>
      </c>
      <c r="K9" s="41">
        <f>IF(OR(I9="",J9=""),"",I9-J9)</f>
        <v/>
      </c>
      <c r="L9" s="34" t="inlineStr"/>
      <c r="M9" s="34" t="inlineStr"/>
      <c r="N9" s="41">
        <f>IF(AND(L9&lt;&gt;"",M9&lt;&gt;""),L9-M9,"")</f>
        <v/>
      </c>
      <c r="O9" s="41">
        <f>IF(I9&lt;=SETTINGS!$B$3,"LOW","OK")</f>
        <v/>
      </c>
      <c r="P9" s="41">
        <f>MAX(0,SETTINGS!$B$4-E9)+MAX(0,SETTINGS!$B$4-F9)+MAX(0,SETTINGS!$B$4-G9)</f>
        <v/>
      </c>
      <c r="Q9" s="37" t="inlineStr"/>
    </row>
    <row r="10">
      <c r="A10" s="25" t="inlineStr">
        <is>
          <t>BEBE-006</t>
        </is>
      </c>
      <c r="B10" s="25" t="inlineStr">
        <is>
          <t>Super Mario Mushroom Green</t>
        </is>
      </c>
      <c r="C10" s="25" t="inlineStr"/>
      <c r="D10" s="25" t="inlineStr">
        <is>
          <t>Best Seller</t>
        </is>
      </c>
      <c r="E10" s="34" t="n">
        <v>5</v>
      </c>
      <c r="F10" s="34" t="n">
        <v>5</v>
      </c>
      <c r="G10" s="34" t="n">
        <v>5</v>
      </c>
      <c r="H10" s="34" t="n">
        <v>0</v>
      </c>
      <c r="I10" s="41">
        <f>SUM(E10:H10)</f>
        <v/>
      </c>
      <c r="J10" s="36" t="n">
        <v>3</v>
      </c>
      <c r="K10" s="41">
        <f>IF(OR(I10="",J10=""),"",I10-J10)</f>
        <v/>
      </c>
      <c r="L10" s="34" t="inlineStr"/>
      <c r="M10" s="34" t="inlineStr"/>
      <c r="N10" s="41">
        <f>IF(AND(L10&lt;&gt;"",M10&lt;&gt;""),L10-M10,"")</f>
        <v/>
      </c>
      <c r="O10" s="41">
        <f>IF(I10&lt;=SETTINGS!$B$3,"LOW","OK")</f>
        <v/>
      </c>
      <c r="P10" s="41">
        <f>MAX(0,SETTINGS!$B$4-E10)+MAX(0,SETTINGS!$B$4-F10)+MAX(0,SETTINGS!$B$4-G10)</f>
        <v/>
      </c>
      <c r="Q10" s="37" t="inlineStr"/>
      <c r="R10" s="0" t="inlineStr">
        <is>
          <t>Super Mario</t>
        </is>
      </c>
    </row>
    <row r="11">
      <c r="A11" s="25" t="inlineStr">
        <is>
          <t>BEBE-007</t>
        </is>
      </c>
      <c r="B11" s="25" t="inlineStr">
        <is>
          <t>Super Mario Mushroom Red</t>
        </is>
      </c>
      <c r="C11" s="25" t="inlineStr"/>
      <c r="D11" s="25" t="inlineStr">
        <is>
          <t>Best Seller</t>
        </is>
      </c>
      <c r="E11" s="34" t="n">
        <v>5</v>
      </c>
      <c r="F11" s="34" t="n">
        <v>5</v>
      </c>
      <c r="G11" s="34" t="n">
        <v>5</v>
      </c>
      <c r="H11" s="34" t="n">
        <v>0</v>
      </c>
      <c r="I11" s="41">
        <f>SUM(E11:H11)</f>
        <v/>
      </c>
      <c r="J11" s="36" t="n">
        <v>9</v>
      </c>
      <c r="K11" s="41">
        <f>IF(OR(I11="",J11=""),"",I11-J11)</f>
        <v/>
      </c>
      <c r="L11" s="34" t="inlineStr"/>
      <c r="M11" s="34" t="inlineStr"/>
      <c r="N11" s="41">
        <f>IF(AND(L11&lt;&gt;"",M11&lt;&gt;""),L11-M11,"")</f>
        <v/>
      </c>
      <c r="O11" s="41">
        <f>IF(I11&lt;=SETTINGS!$B$3,"LOW","OK")</f>
        <v/>
      </c>
      <c r="P11" s="41">
        <f>MAX(0,SETTINGS!$B$4-E11)+MAX(0,SETTINGS!$B$4-F11)+MAX(0,SETTINGS!$B$4-G11)</f>
        <v/>
      </c>
      <c r="Q11" s="37" t="inlineStr"/>
      <c r="R11" s="0" t="inlineStr">
        <is>
          <t>Super Mario</t>
        </is>
      </c>
    </row>
    <row r="12">
      <c r="A12" s="25" t="inlineStr">
        <is>
          <t>BEBE-008</t>
        </is>
      </c>
      <c r="B12" s="25" t="inlineStr">
        <is>
          <t>Super Mario Mushroom Coin</t>
        </is>
      </c>
      <c r="C12" s="25" t="inlineStr"/>
      <c r="D12" s="25" t="inlineStr">
        <is>
          <t>Hidden Gems</t>
        </is>
      </c>
      <c r="E12" s="34" t="n">
        <v>0</v>
      </c>
      <c r="F12" s="34" t="n">
        <v>0</v>
      </c>
      <c r="G12" s="34" t="n">
        <v>0</v>
      </c>
      <c r="H12" s="34" t="n">
        <v>0</v>
      </c>
      <c r="I12" s="41">
        <f>SUM(E12:H12)</f>
        <v/>
      </c>
      <c r="J12" s="36" t="n">
        <v>8</v>
      </c>
      <c r="K12" s="41">
        <f>IF(OR(I12="",J12=""),"",I12-J12)</f>
        <v/>
      </c>
      <c r="L12" s="34" t="inlineStr"/>
      <c r="M12" s="34" t="inlineStr"/>
      <c r="N12" s="41">
        <f>IF(AND(L12&lt;&gt;"",M12&lt;&gt;""),L12-M12,"")</f>
        <v/>
      </c>
      <c r="O12" s="41">
        <f>IF(I12&lt;=SETTINGS!$B$3,"LOW","OK")</f>
        <v/>
      </c>
      <c r="P12" s="41">
        <f>MAX(0,SETTINGS!$B$4-E12)+MAX(0,SETTINGS!$B$4-F12)+MAX(0,SETTINGS!$B$4-G12)</f>
        <v/>
      </c>
      <c r="Q12" s="37" t="inlineStr"/>
      <c r="R12" s="0" t="inlineStr">
        <is>
          <t>Super Mario</t>
        </is>
      </c>
    </row>
    <row r="13">
      <c r="A13" s="25" t="inlineStr">
        <is>
          <t>BEBE-009</t>
        </is>
      </c>
      <c r="B13" s="25" t="inlineStr">
        <is>
          <t>Minecraft Grass</t>
        </is>
      </c>
      <c r="C13" s="25" t="inlineStr"/>
      <c r="D13" s="25" t="inlineStr">
        <is>
          <t>Steady Pick</t>
        </is>
      </c>
      <c r="E13" s="34" t="n">
        <v>5</v>
      </c>
      <c r="F13" s="34" t="n">
        <v>5</v>
      </c>
      <c r="G13" s="34" t="n">
        <v>5</v>
      </c>
      <c r="H13" s="34" t="n">
        <v>0</v>
      </c>
      <c r="I13" s="41">
        <f>SUM(E13:H13)</f>
        <v/>
      </c>
      <c r="J13" s="36" t="n">
        <v>0</v>
      </c>
      <c r="K13" s="41">
        <f>IF(OR(I13="",J13=""),"",I13-J13)</f>
        <v/>
      </c>
      <c r="L13" s="34" t="inlineStr"/>
      <c r="M13" s="34" t="inlineStr"/>
      <c r="N13" s="41">
        <f>IF(AND(L13&lt;&gt;"",M13&lt;&gt;""),L13-M13,"")</f>
        <v/>
      </c>
      <c r="O13" s="41">
        <f>IF(I13&lt;=SETTINGS!$B$3,"LOW","OK")</f>
        <v/>
      </c>
      <c r="P13" s="41">
        <f>MAX(0,SETTINGS!$B$4-E13)+MAX(0,SETTINGS!$B$4-F13)+MAX(0,SETTINGS!$B$4-G13)</f>
        <v/>
      </c>
      <c r="Q13" s="37" t="inlineStr"/>
      <c r="R13" s="0" t="inlineStr">
        <is>
          <t>Minecraft</t>
        </is>
      </c>
    </row>
    <row r="14">
      <c r="A14" s="25" t="inlineStr">
        <is>
          <t>BEBE-010</t>
        </is>
      </c>
      <c r="B14" s="25" t="inlineStr">
        <is>
          <t>Minecraft Treasure Chest</t>
        </is>
      </c>
      <c r="C14" s="25" t="inlineStr"/>
      <c r="D14" s="25" t="inlineStr">
        <is>
          <t>Steady Pick</t>
        </is>
      </c>
      <c r="E14" s="34" t="n">
        <v>4</v>
      </c>
      <c r="F14" s="34" t="n">
        <v>4</v>
      </c>
      <c r="G14" s="34" t="n">
        <v>3</v>
      </c>
      <c r="H14" s="34" t="n">
        <v>0</v>
      </c>
      <c r="I14" s="41">
        <f>SUM(E14:H14)</f>
        <v/>
      </c>
      <c r="J14" s="36" t="n">
        <v>0</v>
      </c>
      <c r="K14" s="41">
        <f>IF(OR(I14="",J14=""),"",I14-J14)</f>
        <v/>
      </c>
      <c r="L14" s="34" t="inlineStr"/>
      <c r="M14" s="34" t="inlineStr"/>
      <c r="N14" s="41">
        <f>IF(AND(L14&lt;&gt;"",M14&lt;&gt;""),L14-M14,"")</f>
        <v/>
      </c>
      <c r="O14" s="41">
        <f>IF(I14&lt;=SETTINGS!$B$3,"LOW","OK")</f>
        <v/>
      </c>
      <c r="P14" s="41">
        <f>MAX(0,SETTINGS!$B$4-E14)+MAX(0,SETTINGS!$B$4-F14)+MAX(0,SETTINGS!$B$4-G14)</f>
        <v/>
      </c>
      <c r="Q14" s="37" t="inlineStr"/>
      <c r="R14" s="0" t="inlineStr">
        <is>
          <t>Minecraft</t>
        </is>
      </c>
    </row>
    <row r="15">
      <c r="A15" s="25" t="inlineStr">
        <is>
          <t>BEBE-011</t>
        </is>
      </c>
      <c r="B15" s="25" t="inlineStr">
        <is>
          <t>Minecraft TNT</t>
        </is>
      </c>
      <c r="C15" s="25" t="inlineStr"/>
      <c r="D15" s="25" t="inlineStr">
        <is>
          <t>best Seller</t>
        </is>
      </c>
      <c r="E15" s="34" t="n">
        <v>5</v>
      </c>
      <c r="F15" s="34" t="n">
        <v>5</v>
      </c>
      <c r="G15" s="34" t="n">
        <v>5</v>
      </c>
      <c r="H15" s="34" t="n">
        <v>0</v>
      </c>
      <c r="I15" s="41">
        <f>SUM(E15:H15)</f>
        <v/>
      </c>
      <c r="J15" s="36" t="n">
        <v>0</v>
      </c>
      <c r="K15" s="41">
        <f>IF(OR(I15="",J15=""),"",I15-J15)</f>
        <v/>
      </c>
      <c r="L15" s="34" t="inlineStr"/>
      <c r="M15" s="34" t="inlineStr"/>
      <c r="N15" s="41">
        <f>IF(AND(L15&lt;&gt;"",M15&lt;&gt;""),L15-M15,"")</f>
        <v/>
      </c>
      <c r="O15" s="41">
        <f>IF(I15&lt;=SETTINGS!$B$3,"LOW","OK")</f>
        <v/>
      </c>
      <c r="P15" s="41">
        <f>MAX(0,SETTINGS!$B$4-E15)+MAX(0,SETTINGS!$B$4-F15)+MAX(0,SETTINGS!$B$4-G15)</f>
        <v/>
      </c>
      <c r="Q15" s="37" t="inlineStr"/>
      <c r="R15" s="0" t="inlineStr">
        <is>
          <t>Minecraft</t>
        </is>
      </c>
    </row>
    <row r="16">
      <c r="A16" s="25" t="inlineStr">
        <is>
          <t>BEBE-012</t>
        </is>
      </c>
      <c r="B16" s="25" t="inlineStr">
        <is>
          <t>Minecraft Creeper</t>
        </is>
      </c>
      <c r="C16" s="25" t="inlineStr"/>
      <c r="D16" s="25" t="inlineStr">
        <is>
          <t>best Seller</t>
        </is>
      </c>
      <c r="E16" s="34" t="n">
        <v>6</v>
      </c>
      <c r="F16" s="34" t="n">
        <v>6</v>
      </c>
      <c r="G16" s="34" t="n">
        <v>6</v>
      </c>
      <c r="H16" s="34" t="n">
        <v>0</v>
      </c>
      <c r="I16" s="41">
        <f>SUM(E16:H16)</f>
        <v/>
      </c>
      <c r="J16" s="36" t="n">
        <v>13</v>
      </c>
      <c r="K16" s="41">
        <f>IF(OR(I16="",J16=""),"",I16-J16)</f>
        <v/>
      </c>
      <c r="L16" s="34" t="inlineStr"/>
      <c r="M16" s="34" t="inlineStr"/>
      <c r="N16" s="41">
        <f>IF(AND(L16&lt;&gt;"",M16&lt;&gt;""),L16-M16,"")</f>
        <v/>
      </c>
      <c r="O16" s="41">
        <f>IF(I16&lt;=SETTINGS!$B$3,"LOW","OK")</f>
        <v/>
      </c>
      <c r="P16" s="41">
        <f>MAX(0,SETTINGS!$B$4-E16)+MAX(0,SETTINGS!$B$4-F16)+MAX(0,SETTINGS!$B$4-G16)</f>
        <v/>
      </c>
      <c r="Q16" s="37" t="inlineStr"/>
      <c r="R16" s="0" t="inlineStr">
        <is>
          <t>Minecraft</t>
        </is>
      </c>
    </row>
    <row r="17">
      <c r="A17" s="25" t="inlineStr">
        <is>
          <t>BEBE-013</t>
        </is>
      </c>
      <c r="B17" s="25" t="inlineStr">
        <is>
          <t>Minecraft Bee</t>
        </is>
      </c>
      <c r="C17" s="25" t="inlineStr"/>
      <c r="D17" s="25" t="inlineStr">
        <is>
          <t>steady Pick</t>
        </is>
      </c>
      <c r="E17" s="34" t="n">
        <v>5</v>
      </c>
      <c r="F17" s="34" t="n">
        <v>5</v>
      </c>
      <c r="G17" s="34" t="n">
        <v>5</v>
      </c>
      <c r="H17" s="34" t="n">
        <v>0</v>
      </c>
      <c r="I17" s="41">
        <f>SUM(E17:H17)</f>
        <v/>
      </c>
      <c r="J17" s="36" t="n">
        <v>3</v>
      </c>
      <c r="K17" s="41">
        <f>IF(OR(I17="",J17=""),"",I17-J17)</f>
        <v/>
      </c>
      <c r="L17" s="34" t="inlineStr"/>
      <c r="M17" s="34" t="inlineStr"/>
      <c r="N17" s="41">
        <f>IF(AND(L17&lt;&gt;"",M17&lt;&gt;""),L17-M17,"")</f>
        <v/>
      </c>
      <c r="O17" s="41">
        <f>IF(I17&lt;=SETTINGS!$B$3,"LOW","OK")</f>
        <v/>
      </c>
      <c r="P17" s="41">
        <f>MAX(0,SETTINGS!$B$4-E17)+MAX(0,SETTINGS!$B$4-F17)+MAX(0,SETTINGS!$B$4-G17)</f>
        <v/>
      </c>
      <c r="Q17" s="37" t="inlineStr"/>
      <c r="R17" s="0" t="inlineStr">
        <is>
          <t>Minecraft</t>
        </is>
      </c>
    </row>
    <row r="18">
      <c r="A18" s="25" t="inlineStr">
        <is>
          <t>BEBE-014</t>
        </is>
      </c>
      <c r="B18" s="25" t="inlineStr">
        <is>
          <t>Minecraft Cheese</t>
        </is>
      </c>
      <c r="C18" s="25" t="inlineStr"/>
      <c r="D18" s="25" t="inlineStr">
        <is>
          <t>Hidden Gems</t>
        </is>
      </c>
      <c r="E18" s="34" t="n">
        <v>5</v>
      </c>
      <c r="F18" s="34" t="n">
        <v>5</v>
      </c>
      <c r="G18" s="34" t="n">
        <v>5</v>
      </c>
      <c r="H18" s="34" t="n">
        <v>0</v>
      </c>
      <c r="I18" s="41">
        <f>SUM(E18:H18)</f>
        <v/>
      </c>
      <c r="J18" s="36" t="n">
        <v>0</v>
      </c>
      <c r="K18" s="41">
        <f>IF(OR(I18="",J18=""),"",I18-J18)</f>
        <v/>
      </c>
      <c r="L18" s="34" t="inlineStr"/>
      <c r="M18" s="34" t="inlineStr"/>
      <c r="N18" s="41">
        <f>IF(AND(L18&lt;&gt;"",M18&lt;&gt;""),L18-M18,"")</f>
        <v/>
      </c>
      <c r="O18" s="41">
        <f>IF(I18&lt;=SETTINGS!$B$3,"LOW","OK")</f>
        <v/>
      </c>
      <c r="P18" s="41">
        <f>MAX(0,SETTINGS!$B$4-E18)+MAX(0,SETTINGS!$B$4-F18)+MAX(0,SETTINGS!$B$4-G18)</f>
        <v/>
      </c>
      <c r="Q18" s="37" t="inlineStr"/>
      <c r="R18" s="0" t="inlineStr">
        <is>
          <t>Minecraft</t>
        </is>
      </c>
    </row>
    <row r="19">
      <c r="A19" s="25" t="inlineStr">
        <is>
          <t>BEBE-015</t>
        </is>
      </c>
      <c r="B19" s="25" t="inlineStr">
        <is>
          <t>Minecraft Enderman</t>
        </is>
      </c>
      <c r="C19" s="25" t="inlineStr"/>
      <c r="D19" s="25" t="inlineStr">
        <is>
          <t>steady Pick</t>
        </is>
      </c>
      <c r="E19" s="34" t="n">
        <v>6</v>
      </c>
      <c r="F19" s="34" t="n">
        <v>6</v>
      </c>
      <c r="G19" s="34" t="n">
        <v>6</v>
      </c>
      <c r="H19" s="34" t="n">
        <v>0</v>
      </c>
      <c r="I19" s="41">
        <f>SUM(E19:H19)</f>
        <v/>
      </c>
      <c r="J19" s="36" t="n">
        <v>6</v>
      </c>
      <c r="K19" s="41">
        <f>IF(OR(I19="",J19=""),"",I19-J19)</f>
        <v/>
      </c>
      <c r="L19" s="34" t="inlineStr"/>
      <c r="M19" s="34" t="inlineStr"/>
      <c r="N19" s="41">
        <f>IF(AND(L19&lt;&gt;"",M19&lt;&gt;""),L19-M19,"")</f>
        <v/>
      </c>
      <c r="O19" s="41">
        <f>IF(I19&lt;=SETTINGS!$B$3,"LOW","OK")</f>
        <v/>
      </c>
      <c r="P19" s="41">
        <f>MAX(0,SETTINGS!$B$4-E19)+MAX(0,SETTINGS!$B$4-F19)+MAX(0,SETTINGS!$B$4-G19)</f>
        <v/>
      </c>
      <c r="Q19" s="37" t="inlineStr"/>
      <c r="R19" s="0" t="inlineStr">
        <is>
          <t>Minecraft</t>
        </is>
      </c>
    </row>
    <row r="20">
      <c r="A20" s="25" t="inlineStr">
        <is>
          <t>BEBE-016</t>
        </is>
      </c>
      <c r="B20" s="25" t="inlineStr">
        <is>
          <t>Pixel Heart</t>
        </is>
      </c>
      <c r="C20" s="25" t="inlineStr"/>
      <c r="D20" s="25" t="inlineStr">
        <is>
          <t>steady Pick</t>
        </is>
      </c>
      <c r="E20" s="34" t="n">
        <v>5</v>
      </c>
      <c r="F20" s="34" t="n">
        <v>5</v>
      </c>
      <c r="G20" s="34" t="n">
        <v>5</v>
      </c>
      <c r="H20" s="34" t="n">
        <v>12</v>
      </c>
      <c r="I20" s="41">
        <f>SUM(E20:H20)</f>
        <v/>
      </c>
      <c r="J20" s="36" t="n">
        <v>27</v>
      </c>
      <c r="K20" s="41">
        <f>IF(OR(I20="",J20=""),"",I20-J20)</f>
        <v/>
      </c>
      <c r="L20" s="34" t="inlineStr"/>
      <c r="M20" s="34" t="inlineStr"/>
      <c r="N20" s="41">
        <f>IF(AND(L20&lt;&gt;"",M20&lt;&gt;""),L20-M20,"")</f>
        <v/>
      </c>
      <c r="O20" s="41">
        <f>IF(I20&lt;=SETTINGS!$B$3,"LOW","OK")</f>
        <v/>
      </c>
      <c r="P20" s="41">
        <f>MAX(0,SETTINGS!$B$4-E20)+MAX(0,SETTINGS!$B$4-F20)+MAX(0,SETTINGS!$B$4-G20)</f>
        <v/>
      </c>
      <c r="Q20" s="37" t="inlineStr"/>
    </row>
    <row r="21" ht="15.75" customHeight="1" s="45">
      <c r="A21" s="25" t="inlineStr">
        <is>
          <t>BEBE-017</t>
        </is>
      </c>
      <c r="B21" s="25" t="inlineStr">
        <is>
          <t>Gameboy Controller</t>
        </is>
      </c>
      <c r="C21" s="25" t="inlineStr"/>
      <c r="D21" s="25" t="inlineStr">
        <is>
          <t>best Seller</t>
        </is>
      </c>
      <c r="E21" s="34" t="n">
        <v>5</v>
      </c>
      <c r="F21" s="34" t="n">
        <v>5</v>
      </c>
      <c r="G21" s="34" t="n">
        <v>5</v>
      </c>
      <c r="H21" s="34" t="n">
        <v>4</v>
      </c>
      <c r="I21" s="41">
        <f>SUM(E21:H21)</f>
        <v/>
      </c>
      <c r="J21" s="36" t="n">
        <v>19</v>
      </c>
      <c r="K21" s="41">
        <f>IF(OR(I21="",J21=""),"",I21-J21)</f>
        <v/>
      </c>
      <c r="L21" s="34" t="inlineStr"/>
      <c r="M21" s="34" t="inlineStr"/>
      <c r="N21" s="41">
        <f>IF(AND(L21&lt;&gt;"",M21&lt;&gt;""),L21-M21,"")</f>
        <v/>
      </c>
      <c r="O21" s="41">
        <f>IF(I21&lt;=SETTINGS!$B$3,"LOW","OK")</f>
        <v/>
      </c>
      <c r="P21" s="41">
        <f>MAX(0,SETTINGS!$B$4-E21)+MAX(0,SETTINGS!$B$4-F21)+MAX(0,SETTINGS!$B$4-G21)</f>
        <v/>
      </c>
      <c r="Q21" s="37" t="inlineStr"/>
    </row>
    <row r="22" ht="15.75" customHeight="1" s="45">
      <c r="A22" s="25" t="inlineStr">
        <is>
          <t>BEBE-018</t>
        </is>
      </c>
      <c r="B22" s="25" t="inlineStr">
        <is>
          <t>Nintendo Controller</t>
        </is>
      </c>
      <c r="C22" s="25" t="inlineStr"/>
      <c r="D22" s="25" t="inlineStr">
        <is>
          <t>best Seller</t>
        </is>
      </c>
      <c r="E22" s="34" t="n">
        <v>5</v>
      </c>
      <c r="F22" s="34" t="n">
        <v>5</v>
      </c>
      <c r="G22" s="34" t="n">
        <v>5</v>
      </c>
      <c r="H22" s="34" t="n">
        <v>6</v>
      </c>
      <c r="I22" s="41">
        <f>SUM(E22:H22)</f>
        <v/>
      </c>
      <c r="J22" s="36" t="n">
        <v>21</v>
      </c>
      <c r="K22" s="41">
        <f>IF(OR(I22="",J22=""),"",I22-J22)</f>
        <v/>
      </c>
      <c r="L22" s="34" t="inlineStr"/>
      <c r="M22" s="34" t="inlineStr"/>
      <c r="N22" s="41">
        <f>IF(AND(L22&lt;&gt;"",M22&lt;&gt;""),L22-M22,"")</f>
        <v/>
      </c>
      <c r="O22" s="41">
        <f>IF(I22&lt;=SETTINGS!$B$3,"LOW","OK")</f>
        <v/>
      </c>
      <c r="P22" s="41">
        <f>MAX(0,SETTINGS!$B$4-E22)+MAX(0,SETTINGS!$B$4-F22)+MAX(0,SETTINGS!$B$4-G22)</f>
        <v/>
      </c>
      <c r="Q22" s="37" t="inlineStr"/>
    </row>
    <row r="23" ht="15.75" customHeight="1" s="45">
      <c r="A23" s="25" t="inlineStr">
        <is>
          <t>BEBE-019</t>
        </is>
      </c>
      <c r="B23" s="25" t="inlineStr">
        <is>
          <t>Lipstick</t>
        </is>
      </c>
      <c r="C23" s="25" t="inlineStr"/>
      <c r="D23" s="25" t="inlineStr">
        <is>
          <t>hidden Gems</t>
        </is>
      </c>
      <c r="E23" s="34" t="n">
        <v>2</v>
      </c>
      <c r="F23" s="34" t="n">
        <v>1</v>
      </c>
      <c r="G23" s="34" t="n">
        <v>1</v>
      </c>
      <c r="H23" s="34" t="n">
        <v>0</v>
      </c>
      <c r="I23" s="41">
        <f>SUM(E23:H23)</f>
        <v/>
      </c>
      <c r="J23" s="36" t="n">
        <v>4</v>
      </c>
      <c r="K23" s="41">
        <f>IF(OR(I23="",J23=""),"",I23-J23)</f>
        <v/>
      </c>
      <c r="L23" s="34" t="inlineStr"/>
      <c r="M23" s="34" t="inlineStr"/>
      <c r="N23" s="41">
        <f>IF(AND(L23&lt;&gt;"",M23&lt;&gt;""),L23-M23,"")</f>
        <v/>
      </c>
      <c r="O23" s="41">
        <f>IF(I23&lt;=SETTINGS!$B$3,"LOW","OK")</f>
        <v/>
      </c>
      <c r="P23" s="41">
        <f>MAX(0,SETTINGS!$B$4-E23)+MAX(0,SETTINGS!$B$4-F23)+MAX(0,SETTINGS!$B$4-G23)</f>
        <v/>
      </c>
      <c r="Q23" s="37" t="inlineStr"/>
    </row>
    <row r="24" ht="15.75" customHeight="1" s="45">
      <c r="A24" s="25" t="inlineStr">
        <is>
          <t>BEBE-020</t>
        </is>
      </c>
      <c r="B24" s="25" t="inlineStr">
        <is>
          <t>Makeup Brush</t>
        </is>
      </c>
      <c r="C24" s="25" t="inlineStr"/>
      <c r="D24" s="25" t="inlineStr">
        <is>
          <t>hidden Gems</t>
        </is>
      </c>
      <c r="E24" s="34" t="n">
        <v>2</v>
      </c>
      <c r="F24" s="34" t="n">
        <v>2</v>
      </c>
      <c r="G24" s="34" t="n">
        <v>1</v>
      </c>
      <c r="H24" s="34" t="n">
        <v>0</v>
      </c>
      <c r="I24" s="41">
        <f>SUM(E24:H24)</f>
        <v/>
      </c>
      <c r="J24" s="36" t="n">
        <v>5</v>
      </c>
      <c r="K24" s="41">
        <f>IF(OR(I24="",J24=""),"",I24-J24)</f>
        <v/>
      </c>
      <c r="L24" s="34" t="inlineStr"/>
      <c r="M24" s="34" t="inlineStr"/>
      <c r="N24" s="41">
        <f>IF(AND(L24&lt;&gt;"",M24&lt;&gt;""),L24-M24,"")</f>
        <v/>
      </c>
      <c r="O24" s="41">
        <f>IF(I24&lt;=SETTINGS!$B$3,"LOW","OK")</f>
        <v/>
      </c>
      <c r="P24" s="41">
        <f>MAX(0,SETTINGS!$B$4-E24)+MAX(0,SETTINGS!$B$4-F24)+MAX(0,SETTINGS!$B$4-G24)</f>
        <v/>
      </c>
      <c r="Q24" s="37" t="inlineStr"/>
    </row>
    <row r="25" ht="15.75" customHeight="1" s="45">
      <c r="A25" s="25" t="inlineStr">
        <is>
          <t>BEBE-021</t>
        </is>
      </c>
      <c r="B25" s="25" t="inlineStr">
        <is>
          <t>Telephone</t>
        </is>
      </c>
      <c r="C25" s="25" t="inlineStr"/>
      <c r="D25" s="25" t="inlineStr">
        <is>
          <t>hidden Gems</t>
        </is>
      </c>
      <c r="E25" s="34" t="n">
        <v>3</v>
      </c>
      <c r="F25" s="34" t="n">
        <v>3</v>
      </c>
      <c r="G25" s="34" t="n">
        <v>2</v>
      </c>
      <c r="H25" s="34" t="n">
        <v>0</v>
      </c>
      <c r="I25" s="41">
        <f>SUM(E25:H25)</f>
        <v/>
      </c>
      <c r="J25" s="36" t="n">
        <v>8</v>
      </c>
      <c r="K25" s="41">
        <f>IF(OR(I25="",J25=""),"",I25-J25)</f>
        <v/>
      </c>
      <c r="L25" s="34" t="inlineStr"/>
      <c r="M25" s="34" t="inlineStr"/>
      <c r="N25" s="41">
        <f>IF(AND(L25&lt;&gt;"",M25&lt;&gt;""),L25-M25,"")</f>
        <v/>
      </c>
      <c r="O25" s="41">
        <f>IF(I25&lt;=SETTINGS!$B$3,"LOW","OK")</f>
        <v/>
      </c>
      <c r="P25" s="41">
        <f>MAX(0,SETTINGS!$B$4-E25)+MAX(0,SETTINGS!$B$4-F25)+MAX(0,SETTINGS!$B$4-G25)</f>
        <v/>
      </c>
      <c r="Q25" s="37" t="inlineStr"/>
    </row>
    <row r="26" ht="15.75" customHeight="1" s="45">
      <c r="A26" s="25" t="n"/>
      <c r="B26" s="25" t="n"/>
      <c r="C26" s="25" t="n"/>
      <c r="D26" s="25" t="n"/>
      <c r="E26" s="44" t="n"/>
      <c r="F26" s="44" t="n"/>
      <c r="G26" s="44" t="n"/>
      <c r="H26" s="44" t="n"/>
      <c r="I26" s="44" t="n"/>
      <c r="J26" s="44" t="n"/>
      <c r="K26" s="44" t="n"/>
      <c r="L26" s="44" t="n"/>
      <c r="M26" s="44" t="n"/>
      <c r="N26" s="44" t="n"/>
      <c r="O26" s="44" t="n"/>
      <c r="P26" s="44" t="n"/>
      <c r="Q26" s="25" t="n"/>
    </row>
    <row r="27" ht="15.75" customHeight="1" s="45">
      <c r="A27" s="38" t="inlineStr">
        <is>
          <t>Category Totals</t>
        </is>
      </c>
      <c r="B27" s="39" t="inlineStr">
        <is>
          <t>Total Counted</t>
        </is>
      </c>
      <c r="C27" s="40">
        <f>SUM(I5:I27)</f>
        <v/>
      </c>
      <c r="D27" s="39" t="inlineStr">
        <is>
          <t>Original Inventory</t>
        </is>
      </c>
      <c r="E27" s="41">
        <f>SUM(J5:J27)</f>
        <v/>
      </c>
      <c r="F27" s="42" t="inlineStr">
        <is>
          <t>Variance</t>
        </is>
      </c>
      <c r="G27" s="41">
        <f>SUM(K5:K27)</f>
        <v/>
      </c>
      <c r="H27" s="42" t="inlineStr">
        <is>
          <t>Sold Today</t>
        </is>
      </c>
      <c r="I27" s="41">
        <f>SUM(N5:N27)</f>
        <v/>
      </c>
      <c r="J27" s="42" t="inlineStr">
        <is>
          <t>Low Stock SKUs</t>
        </is>
      </c>
      <c r="K27" s="43">
        <f>COUNTIF(O5:O27,"LOW")</f>
        <v/>
      </c>
      <c r="L27" s="42" t="inlineStr">
        <is>
          <t>Refill Needed</t>
        </is>
      </c>
      <c r="M27" s="41">
        <f>SUM(P5:P27)</f>
        <v/>
      </c>
      <c r="N27" s="44" t="n"/>
      <c r="O27" s="44" t="n"/>
      <c r="P27" s="44" t="n"/>
      <c r="Q27" s="25" t="n"/>
    </row>
    <row r="28" ht="15.75" customHeight="1" s="45"/>
    <row r="29" ht="15.75" customHeight="1" s="45"/>
    <row r="30" ht="15.75" customHeight="1" s="45"/>
    <row r="31" ht="15.75" customHeight="1" s="45"/>
    <row r="32" ht="15.75" customHeight="1" s="45"/>
    <row r="33" ht="15.75" customHeight="1" s="45"/>
    <row r="34" ht="15.75" customHeight="1" s="45"/>
    <row r="35" ht="15.75" customHeight="1" s="45"/>
    <row r="36" ht="15.75" customHeight="1" s="45"/>
    <row r="37" ht="15.75" customHeight="1" s="45"/>
    <row r="38" ht="15.75" customHeight="1" s="45"/>
    <row r="39" ht="15.75" customHeight="1" s="45"/>
    <row r="40" ht="15.75" customHeight="1" s="45"/>
    <row r="41" ht="15.75" customHeight="1" s="45"/>
    <row r="42" ht="15.75" customHeight="1" s="45"/>
    <row r="43" ht="15.75" customHeight="1" s="45"/>
    <row r="44" ht="15.75" customHeight="1" s="45"/>
    <row r="45" ht="15.75" customHeight="1" s="45"/>
    <row r="46" ht="15.75" customHeight="1" s="45"/>
    <row r="47" ht="15.75" customHeight="1" s="45"/>
    <row r="48" ht="15.75" customHeight="1" s="45"/>
    <row r="49" ht="15.75" customHeight="1" s="45"/>
    <row r="50" ht="15.75" customHeight="1" s="45"/>
    <row r="51" ht="15.75" customHeight="1" s="45"/>
    <row r="52" ht="15.75" customHeight="1" s="45"/>
    <row r="53" ht="15.75" customHeight="1" s="45"/>
    <row r="54" ht="15.75" customHeight="1" s="45"/>
    <row r="55" ht="15.75" customHeight="1" s="45"/>
    <row r="56" ht="15.75" customHeight="1" s="45"/>
    <row r="57" ht="15.75" customHeight="1" s="45"/>
    <row r="58" ht="15.75" customHeight="1" s="45"/>
    <row r="59" ht="15.75" customHeight="1" s="45"/>
    <row r="60" ht="15.75" customHeight="1" s="45"/>
    <row r="61" ht="15.75" customHeight="1" s="45"/>
    <row r="62" ht="15.75" customHeight="1" s="45"/>
    <row r="63" ht="15.75" customHeight="1" s="45"/>
    <row r="64" ht="15.75" customHeight="1" s="45"/>
    <row r="65" ht="15.75" customHeight="1" s="45"/>
    <row r="66" ht="15.75" customHeight="1" s="45"/>
    <row r="67" ht="15.75" customHeight="1" s="45"/>
    <row r="68" ht="15.75" customHeight="1" s="45"/>
    <row r="69" ht="15.75" customHeight="1" s="45"/>
    <row r="70" ht="15.75" customHeight="1" s="45"/>
    <row r="71" ht="15.75" customHeight="1" s="45"/>
    <row r="72" ht="15.75" customHeight="1" s="45"/>
    <row r="73" ht="15.75" customHeight="1" s="45"/>
    <row r="74" ht="15.75" customHeight="1" s="45"/>
    <row r="75" ht="15.75" customHeight="1" s="45"/>
    <row r="76" ht="15.75" customHeight="1" s="45"/>
    <row r="77" ht="15.75" customHeight="1" s="45"/>
    <row r="78" ht="15.75" customHeight="1" s="45"/>
    <row r="79" ht="15.75" customHeight="1" s="45"/>
    <row r="80" ht="15.75" customHeight="1" s="45"/>
    <row r="81" ht="15.75" customHeight="1" s="45"/>
    <row r="82" ht="15.75" customHeight="1" s="45"/>
    <row r="83" ht="15.75" customHeight="1" s="45"/>
    <row r="84" ht="15.75" customHeight="1" s="45"/>
    <row r="85" ht="15.75" customHeight="1" s="45"/>
    <row r="86" ht="15.75" customHeight="1" s="45"/>
    <row r="87" ht="15.75" customHeight="1" s="45"/>
    <row r="88" ht="15.75" customHeight="1" s="45"/>
    <row r="89" ht="15.75" customHeight="1" s="45"/>
    <row r="90" ht="15.75" customHeight="1" s="45"/>
    <row r="91" ht="15.75" customHeight="1" s="45"/>
    <row r="92" ht="15.75" customHeight="1" s="45"/>
    <row r="93" ht="15.75" customHeight="1" s="45"/>
    <row r="94" ht="15.75" customHeight="1" s="45"/>
    <row r="95" ht="15.75" customHeight="1" s="45"/>
    <row r="96" ht="15.75" customHeight="1" s="45"/>
    <row r="97" ht="15.75" customHeight="1" s="45"/>
    <row r="98" ht="15.75" customHeight="1" s="45"/>
    <row r="99" ht="15.75" customHeight="1" s="45"/>
    <row r="100" ht="15.75" customHeight="1" s="45"/>
    <row r="101" ht="15.75" customHeight="1" s="45"/>
    <row r="102" ht="15.75" customHeight="1" s="45"/>
    <row r="103" ht="15.75" customHeight="1" s="45"/>
    <row r="104" ht="15.75" customHeight="1" s="45"/>
    <row r="105" ht="15.75" customHeight="1" s="45"/>
    <row r="106" ht="15.75" customHeight="1" s="45"/>
    <row r="107" ht="15.75" customHeight="1" s="45"/>
    <row r="108" ht="15.75" customHeight="1" s="45"/>
    <row r="109" ht="15.75" customHeight="1" s="45"/>
    <row r="110" ht="15.75" customHeight="1" s="45"/>
    <row r="111" ht="15.75" customHeight="1" s="45"/>
    <row r="112" ht="15.75" customHeight="1" s="45"/>
    <row r="113" ht="15.75" customHeight="1" s="45"/>
    <row r="114" ht="15.75" customHeight="1" s="45"/>
    <row r="115" ht="15.75" customHeight="1" s="45"/>
    <row r="116" ht="15.75" customHeight="1" s="45"/>
    <row r="117" ht="15.75" customHeight="1" s="45"/>
    <row r="118" ht="15.75" customHeight="1" s="45"/>
    <row r="119" ht="15.75" customHeight="1" s="45"/>
    <row r="120" ht="15.75" customHeight="1" s="45"/>
    <row r="121" ht="15.75" customHeight="1" s="45"/>
    <row r="122" ht="15.75" customHeight="1" s="45"/>
    <row r="123" ht="15.75" customHeight="1" s="45"/>
    <row r="124" ht="15.75" customHeight="1" s="45"/>
    <row r="125" ht="15.75" customHeight="1" s="45"/>
    <row r="126" ht="15.75" customHeight="1" s="45"/>
    <row r="127" ht="15.75" customHeight="1" s="45"/>
    <row r="128" ht="15.75" customHeight="1" s="45"/>
    <row r="129" ht="15.75" customHeight="1" s="45"/>
    <row r="130" ht="15.75" customHeight="1" s="45"/>
    <row r="131" ht="15.75" customHeight="1" s="45"/>
    <row r="132" ht="15.75" customHeight="1" s="45"/>
    <row r="133" ht="15.75" customHeight="1" s="45"/>
    <row r="134" ht="15.75" customHeight="1" s="45"/>
    <row r="135" ht="15.75" customHeight="1" s="45"/>
    <row r="136" ht="15.75" customHeight="1" s="45"/>
    <row r="137" ht="15.75" customHeight="1" s="45"/>
    <row r="138" ht="15.75" customHeight="1" s="45"/>
    <row r="139" ht="15.75" customHeight="1" s="45"/>
    <row r="140" ht="15.75" customHeight="1" s="45"/>
    <row r="141" ht="15.75" customHeight="1" s="45"/>
    <row r="142" ht="15.75" customHeight="1" s="45"/>
    <row r="143" ht="15.75" customHeight="1" s="45"/>
    <row r="144" ht="15.75" customHeight="1" s="45"/>
    <row r="145" ht="15.75" customHeight="1" s="45"/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2">
    <mergeCell ref="A2:Q2"/>
    <mergeCell ref="A1:Q1"/>
  </mergeCells>
  <conditionalFormatting sqref="O5:O25">
    <cfRule type="expression" priority="1" dxfId="4">
      <formula>$O5="LOW"</formula>
    </cfRule>
  </conditionalFormatting>
  <conditionalFormatting sqref="K5:K25">
    <cfRule type="cellIs" priority="2" operator="lessThan" dxfId="5">
      <formula>0</formula>
    </cfRule>
  </conditionalFormatting>
  <conditionalFormatting sqref="N5:N25">
    <cfRule type="cellIs" priority="3" operator="greaterThan" dxfId="6">
      <formula>0</formula>
    </cfRule>
  </conditionalFormatting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R24"/>
  <sheetViews>
    <sheetView showGridLines="0" workbookViewId="0">
      <selection activeCell="A1" sqref="A1"/>
    </sheetView>
  </sheetViews>
  <sheetFormatPr baseColWidth="8" defaultColWidth="14.43" defaultRowHeight="15" customHeight="1"/>
  <cols>
    <col width="12" customWidth="1" style="45" min="1" max="1"/>
    <col width="22" customWidth="1" style="45" min="2" max="2"/>
    <col width="20" customWidth="1" style="45" min="3" max="3"/>
    <col width="16" customWidth="1" style="45" min="4" max="4"/>
    <col width="10" customWidth="1" style="45" min="5" max="7"/>
    <col width="12" customWidth="1" style="45" min="8" max="9"/>
    <col width="14" customWidth="1" style="45" min="10" max="11"/>
    <col width="11" customWidth="1" style="45" min="12" max="14"/>
    <col width="10" customWidth="1" style="45" min="15" max="15"/>
    <col width="12" customWidth="1" style="45" min="16" max="16"/>
    <col width="18" customWidth="1" style="45" min="17" max="17"/>
    <col width="8.710000000000001" customWidth="1" style="45" min="18" max="26"/>
  </cols>
  <sheetData>
    <row r="1">
      <c r="A1" s="46" t="inlineStr">
        <is>
          <t>BEBECATS Inventory</t>
        </is>
      </c>
    </row>
    <row r="2">
      <c r="A2" s="49" t="inlineStr">
        <is>
          <t>Update blue cells only. Everything else updates automatically.</t>
        </is>
      </c>
    </row>
    <row r="3">
      <c r="A3" s="25" t="n"/>
      <c r="B3" s="25" t="n"/>
      <c r="C3" s="25" t="n"/>
      <c r="D3" s="25" t="n"/>
      <c r="E3" s="44" t="n"/>
      <c r="F3" s="44" t="n"/>
      <c r="G3" s="44" t="n"/>
      <c r="H3" s="44" t="n"/>
      <c r="I3" s="44" t="n"/>
      <c r="J3" s="44" t="n"/>
      <c r="K3" s="44" t="n"/>
      <c r="L3" s="44" t="n"/>
      <c r="M3" s="44" t="n"/>
      <c r="N3" s="44" t="n"/>
      <c r="O3" s="44" t="n"/>
      <c r="P3" s="44" t="n"/>
      <c r="Q3" s="25" t="n"/>
    </row>
    <row r="4">
      <c r="A4" s="22" t="inlineStr">
        <is>
          <t>SKU</t>
        </is>
      </c>
      <c r="B4" s="22" t="inlineStr">
        <is>
          <t>Item</t>
        </is>
      </c>
      <c r="C4" s="22" t="inlineStr">
        <is>
          <t>Color / Variant</t>
        </is>
      </c>
      <c r="D4" s="22" t="inlineStr">
        <is>
          <t>Tag</t>
        </is>
      </c>
      <c r="E4" s="24" t="inlineStr">
        <is>
          <t>Display A</t>
        </is>
      </c>
      <c r="F4" s="24" t="inlineStr">
        <is>
          <t>Display B</t>
        </is>
      </c>
      <c r="G4" s="24" t="inlineStr">
        <is>
          <t>Display C</t>
        </is>
      </c>
      <c r="H4" s="24" t="inlineStr">
        <is>
          <t>Back Stock</t>
        </is>
      </c>
      <c r="I4" s="24" t="inlineStr">
        <is>
          <t>Total Counted</t>
        </is>
      </c>
      <c r="J4" s="24" t="inlineStr">
        <is>
          <t>Original Inventory</t>
        </is>
      </c>
      <c r="K4" s="24" t="inlineStr">
        <is>
          <t>Variance vs Original</t>
        </is>
      </c>
      <c r="L4" s="24" t="inlineStr">
        <is>
          <t>Day Start</t>
        </is>
      </c>
      <c r="M4" s="24" t="inlineStr">
        <is>
          <t>Day End</t>
        </is>
      </c>
      <c r="N4" s="24" t="inlineStr">
        <is>
          <t>Sold Today</t>
        </is>
      </c>
      <c r="O4" s="24" t="inlineStr">
        <is>
          <t>Low Stock</t>
        </is>
      </c>
      <c r="P4" s="24" t="inlineStr">
        <is>
          <t>Refill Needed</t>
        </is>
      </c>
      <c r="Q4" s="22" t="inlineStr">
        <is>
          <t>Notes</t>
        </is>
      </c>
      <c r="R4" s="0" t="inlineStr">
        <is>
          <t>IP</t>
        </is>
      </c>
    </row>
    <row r="5">
      <c r="A5" s="25" t="inlineStr">
        <is>
          <t>BEBE-001</t>
        </is>
      </c>
      <c r="B5" s="25" t="inlineStr">
        <is>
          <t>Flexi Cat</t>
        </is>
      </c>
      <c r="C5" s="25" t="inlineStr">
        <is>
          <t>White</t>
        </is>
      </c>
      <c r="D5" s="25" t="inlineStr">
        <is>
          <t>Steady Pick</t>
        </is>
      </c>
      <c r="E5" s="34" t="n">
        <v>8</v>
      </c>
      <c r="F5" s="34" t="n">
        <v>8</v>
      </c>
      <c r="G5" s="34" t="n">
        <v>9</v>
      </c>
      <c r="H5" s="34" t="n">
        <v>0</v>
      </c>
      <c r="I5" s="41">
        <f>SUM(E5:H5)</f>
        <v/>
      </c>
      <c r="J5" s="36" t="inlineStr"/>
      <c r="K5" s="41">
        <f>IF(OR(I5="",J5=""),"",I5-J5)</f>
        <v/>
      </c>
      <c r="L5" s="34" t="inlineStr"/>
      <c r="M5" s="34" t="inlineStr"/>
      <c r="N5" s="41">
        <f>IF(AND(L5&lt;&gt;"",M5&lt;&gt;""),L5-M5,"")</f>
        <v/>
      </c>
      <c r="O5" s="41">
        <f>IF(I5&lt;=SETTINGS!$B$3,"LOW","OK")</f>
        <v/>
      </c>
      <c r="P5" s="41">
        <f>MAX(0,SETTINGS!$B$4-E5)+MAX(0,SETTINGS!$B$4-F5)+MAX(0,SETTINGS!$B$4-G5)</f>
        <v/>
      </c>
      <c r="Q5" s="37" t="inlineStr"/>
    </row>
    <row r="6">
      <c r="A6" s="25" t="inlineStr">
        <is>
          <t>BEBE-002</t>
        </is>
      </c>
      <c r="B6" s="25" t="inlineStr">
        <is>
          <t>Flexi Cat</t>
        </is>
      </c>
      <c r="C6" s="25" t="inlineStr">
        <is>
          <t>Glow</t>
        </is>
      </c>
      <c r="D6" s="25" t="inlineStr">
        <is>
          <t>Best Seller</t>
        </is>
      </c>
      <c r="E6" s="34" t="n">
        <v>9</v>
      </c>
      <c r="F6" s="34" t="n">
        <v>10</v>
      </c>
      <c r="G6" s="34" t="n">
        <v>10</v>
      </c>
      <c r="H6" s="34" t="n">
        <v>0</v>
      </c>
      <c r="I6" s="41">
        <f>SUM(E6:H6)</f>
        <v/>
      </c>
      <c r="J6" s="36" t="inlineStr"/>
      <c r="K6" s="41">
        <f>IF(OR(I6="",J6=""),"",I6-J6)</f>
        <v/>
      </c>
      <c r="L6" s="34" t="inlineStr"/>
      <c r="M6" s="34" t="inlineStr"/>
      <c r="N6" s="41">
        <f>IF(AND(L6&lt;&gt;"",M6&lt;&gt;""),L6-M6,"")</f>
        <v/>
      </c>
      <c r="O6" s="41">
        <f>IF(I6&lt;=SETTINGS!$B$3,"LOW","OK")</f>
        <v/>
      </c>
      <c r="P6" s="41">
        <f>MAX(0,SETTINGS!$B$4-E6)+MAX(0,SETTINGS!$B$4-F6)+MAX(0,SETTINGS!$B$4-G6)</f>
        <v/>
      </c>
      <c r="Q6" s="37" t="inlineStr"/>
    </row>
    <row r="7">
      <c r="A7" s="25" t="inlineStr">
        <is>
          <t>BEBE-003</t>
        </is>
      </c>
      <c r="B7" s="25" t="inlineStr">
        <is>
          <t>Flexi Cat</t>
        </is>
      </c>
      <c r="C7" s="25" t="inlineStr">
        <is>
          <t>Black</t>
        </is>
      </c>
      <c r="D7" s="25" t="inlineStr">
        <is>
          <t>Steady Pick</t>
        </is>
      </c>
      <c r="E7" s="34" t="n">
        <v>6</v>
      </c>
      <c r="F7" s="34" t="n">
        <v>6</v>
      </c>
      <c r="G7" s="34" t="n">
        <v>6</v>
      </c>
      <c r="H7" s="34" t="n">
        <v>0</v>
      </c>
      <c r="I7" s="41">
        <f>SUM(E7:H7)</f>
        <v/>
      </c>
      <c r="J7" s="36" t="inlineStr"/>
      <c r="K7" s="41">
        <f>IF(OR(I7="",J7=""),"",I7-J7)</f>
        <v/>
      </c>
      <c r="L7" s="34" t="inlineStr"/>
      <c r="M7" s="34" t="inlineStr"/>
      <c r="N7" s="41">
        <f>IF(AND(L7&lt;&gt;"",M7&lt;&gt;""),L7-M7,"")</f>
        <v/>
      </c>
      <c r="O7" s="41">
        <f>IF(I7&lt;=SETTINGS!$B$3,"LOW","OK")</f>
        <v/>
      </c>
      <c r="P7" s="41">
        <f>MAX(0,SETTINGS!$B$4-E7)+MAX(0,SETTINGS!$B$4-F7)+MAX(0,SETTINGS!$B$4-G7)</f>
        <v/>
      </c>
      <c r="Q7" s="37" t="inlineStr"/>
    </row>
    <row r="8">
      <c r="A8" s="25" t="inlineStr">
        <is>
          <t>BEBE-004</t>
        </is>
      </c>
      <c r="B8" s="25" t="inlineStr">
        <is>
          <t>Flexi Cat</t>
        </is>
      </c>
      <c r="C8" s="25" t="inlineStr">
        <is>
          <t>Tuxedo</t>
        </is>
      </c>
      <c r="D8" s="25" t="inlineStr">
        <is>
          <t>Hidden Gem</t>
        </is>
      </c>
      <c r="E8" s="34" t="n">
        <v>5</v>
      </c>
      <c r="F8" s="34" t="n">
        <v>6</v>
      </c>
      <c r="G8" s="34" t="n">
        <v>5</v>
      </c>
      <c r="H8" s="34" t="n">
        <v>0</v>
      </c>
      <c r="I8" s="41">
        <f>SUM(E8:H8)</f>
        <v/>
      </c>
      <c r="J8" s="36" t="inlineStr"/>
      <c r="K8" s="41">
        <f>IF(OR(I8="",J8=""),"",I8-J8)</f>
        <v/>
      </c>
      <c r="L8" s="34" t="inlineStr"/>
      <c r="M8" s="34" t="inlineStr"/>
      <c r="N8" s="41">
        <f>IF(AND(L8&lt;&gt;"",M8&lt;&gt;""),L8-M8,"")</f>
        <v/>
      </c>
      <c r="O8" s="41">
        <f>IF(I8&lt;=SETTINGS!$B$3,"LOW","OK")</f>
        <v/>
      </c>
      <c r="P8" s="41">
        <f>MAX(0,SETTINGS!$B$4-E8)+MAX(0,SETTINGS!$B$4-F8)+MAX(0,SETTINGS!$B$4-G8)</f>
        <v/>
      </c>
      <c r="Q8" s="37" t="inlineStr"/>
    </row>
    <row r="9">
      <c r="A9" s="25" t="inlineStr">
        <is>
          <t>BEBE-005</t>
        </is>
      </c>
      <c r="B9" s="25" t="inlineStr">
        <is>
          <t>Flexi Cat</t>
        </is>
      </c>
      <c r="C9" s="25" t="inlineStr">
        <is>
          <t>Gray</t>
        </is>
      </c>
      <c r="D9" s="25" t="inlineStr">
        <is>
          <t>Hidden Gem</t>
        </is>
      </c>
      <c r="E9" s="34" t="n">
        <v>3</v>
      </c>
      <c r="F9" s="34" t="n">
        <v>3</v>
      </c>
      <c r="G9" s="34" t="n">
        <v>3</v>
      </c>
      <c r="H9" s="34" t="n">
        <v>0</v>
      </c>
      <c r="I9" s="41">
        <f>SUM(E9:H9)</f>
        <v/>
      </c>
      <c r="J9" s="36" t="n">
        <v>11</v>
      </c>
      <c r="K9" s="41">
        <f>IF(OR(I9="",J9=""),"",I9-J9)</f>
        <v/>
      </c>
      <c r="L9" s="34" t="inlineStr"/>
      <c r="M9" s="34" t="inlineStr"/>
      <c r="N9" s="41">
        <f>IF(AND(L9&lt;&gt;"",M9&lt;&gt;""),L9-M9,"")</f>
        <v/>
      </c>
      <c r="O9" s="41">
        <f>IF(I9&lt;=SETTINGS!$B$3,"LOW","OK")</f>
        <v/>
      </c>
      <c r="P9" s="41">
        <f>MAX(0,SETTINGS!$B$4-E9)+MAX(0,SETTINGS!$B$4-F9)+MAX(0,SETTINGS!$B$4-G9)</f>
        <v/>
      </c>
      <c r="Q9" s="37" t="inlineStr"/>
    </row>
    <row r="10">
      <c r="A10" s="25" t="inlineStr">
        <is>
          <t>BEBE-006</t>
        </is>
      </c>
      <c r="B10" s="25" t="inlineStr">
        <is>
          <t>Ginger Taby Cat</t>
        </is>
      </c>
      <c r="C10" s="25" t="inlineStr">
        <is>
          <t>Ginger Taby Cat</t>
        </is>
      </c>
      <c r="D10" s="25" t="inlineStr">
        <is>
          <t>Hidden Gem</t>
        </is>
      </c>
      <c r="E10" s="34" t="n">
        <v>5</v>
      </c>
      <c r="F10" s="34" t="n">
        <v>4</v>
      </c>
      <c r="G10" s="34" t="n">
        <v>4</v>
      </c>
      <c r="H10" s="34" t="n">
        <v>0</v>
      </c>
      <c r="I10" s="41">
        <f>SUM(E10:H10)</f>
        <v/>
      </c>
      <c r="J10" s="36" t="n">
        <v>13</v>
      </c>
      <c r="K10" s="41">
        <f>IF(OR(I10="",J10=""),"",I10-J10)</f>
        <v/>
      </c>
      <c r="L10" s="34" t="inlineStr"/>
      <c r="M10" s="34" t="inlineStr"/>
      <c r="N10" s="41">
        <f>IF(AND(L10&lt;&gt;"",M10&lt;&gt;""),L10-M10,"")</f>
        <v/>
      </c>
      <c r="O10" s="41">
        <f>IF(I10&lt;=SETTINGS!$B$3,"LOW","OK")</f>
        <v/>
      </c>
      <c r="P10" s="41">
        <f>MAX(0,SETTINGS!$B$4-E10)+MAX(0,SETTINGS!$B$4-F10)+MAX(0,SETTINGS!$B$4-G10)</f>
        <v/>
      </c>
      <c r="Q10" s="37" t="inlineStr"/>
    </row>
    <row r="11">
      <c r="A11" s="25" t="inlineStr">
        <is>
          <t>BEBE-007</t>
        </is>
      </c>
      <c r="B11" s="25" t="inlineStr">
        <is>
          <t>Calico Cat</t>
        </is>
      </c>
      <c r="C11" s="25" t="inlineStr">
        <is>
          <t>Calico Cat</t>
        </is>
      </c>
      <c r="D11" s="25" t="inlineStr">
        <is>
          <t>hidden Gem</t>
        </is>
      </c>
      <c r="E11" s="34" t="n">
        <v>5</v>
      </c>
      <c r="F11" s="34" t="n">
        <v>5</v>
      </c>
      <c r="G11" s="34" t="n">
        <v>5</v>
      </c>
      <c r="H11" s="34" t="n">
        <v>0</v>
      </c>
      <c r="I11" s="41">
        <f>SUM(E11:H11)</f>
        <v/>
      </c>
      <c r="J11" s="36" t="n">
        <v>15</v>
      </c>
      <c r="K11" s="41">
        <f>IF(OR(I11="",J11=""),"",I11-J11)</f>
        <v/>
      </c>
      <c r="L11" s="34" t="inlineStr"/>
      <c r="M11" s="34" t="inlineStr"/>
      <c r="N11" s="41">
        <f>IF(AND(L11&lt;&gt;"",M11&lt;&gt;""),L11-M11,"")</f>
        <v/>
      </c>
      <c r="O11" s="41">
        <f>IF(I11&lt;=SETTINGS!$B$3,"LOW","OK")</f>
        <v/>
      </c>
      <c r="P11" s="41">
        <f>MAX(0,SETTINGS!$B$4-E11)+MAX(0,SETTINGS!$B$4-F11)+MAX(0,SETTINGS!$B$4-G11)</f>
        <v/>
      </c>
      <c r="Q11" s="37" t="inlineStr"/>
    </row>
    <row r="12">
      <c r="A12" s="25" t="inlineStr">
        <is>
          <t>BEBE-008</t>
        </is>
      </c>
      <c r="B12" s="25" t="inlineStr">
        <is>
          <t>Siamese Cat</t>
        </is>
      </c>
      <c r="C12" s="25" t="inlineStr">
        <is>
          <t>Siamese Cat</t>
        </is>
      </c>
      <c r="D12" s="25" t="inlineStr">
        <is>
          <t>hidden Gem</t>
        </is>
      </c>
      <c r="E12" s="34" t="n">
        <v>3</v>
      </c>
      <c r="F12" s="34" t="n">
        <v>2</v>
      </c>
      <c r="G12" s="34" t="n">
        <v>2</v>
      </c>
      <c r="H12" s="34" t="n">
        <v>0</v>
      </c>
      <c r="I12" s="41">
        <f>SUM(E12:H12)</f>
        <v/>
      </c>
      <c r="J12" s="36" t="n">
        <v>7</v>
      </c>
      <c r="K12" s="41">
        <f>IF(OR(I12="",J12=""),"",I12-J12)</f>
        <v/>
      </c>
      <c r="L12" s="34" t="inlineStr"/>
      <c r="M12" s="34" t="inlineStr"/>
      <c r="N12" s="41">
        <f>IF(AND(L12&lt;&gt;"",M12&lt;&gt;""),L12-M12,"")</f>
        <v/>
      </c>
      <c r="O12" s="41">
        <f>IF(I12&lt;=SETTINGS!$B$3,"LOW","OK")</f>
        <v/>
      </c>
      <c r="P12" s="41">
        <f>MAX(0,SETTINGS!$B$4-E12)+MAX(0,SETTINGS!$B$4-F12)+MAX(0,SETTINGS!$B$4-G12)</f>
        <v/>
      </c>
      <c r="Q12" s="37" t="inlineStr"/>
    </row>
    <row r="13">
      <c r="A13" s="25" t="inlineStr">
        <is>
          <t>BEBE-009</t>
        </is>
      </c>
      <c r="B13" s="25" t="inlineStr">
        <is>
          <t>Grumpy Cat</t>
        </is>
      </c>
      <c r="C13" s="25" t="inlineStr">
        <is>
          <t>Pink</t>
        </is>
      </c>
      <c r="D13" s="25" t="inlineStr">
        <is>
          <t>hidden Gem</t>
        </is>
      </c>
      <c r="E13" s="34" t="n">
        <v>2</v>
      </c>
      <c r="F13" s="34" t="n">
        <v>1</v>
      </c>
      <c r="G13" s="34" t="n">
        <v>1</v>
      </c>
      <c r="H13" s="34" t="n">
        <v>0</v>
      </c>
      <c r="I13" s="41">
        <f>SUM(E13:H13)</f>
        <v/>
      </c>
      <c r="J13" s="36" t="n">
        <v>5</v>
      </c>
      <c r="K13" s="41">
        <f>IF(OR(I13="",J13=""),"",I13-J13)</f>
        <v/>
      </c>
      <c r="L13" s="34" t="inlineStr"/>
      <c r="M13" s="34" t="inlineStr"/>
      <c r="N13" s="41">
        <f>IF(AND(L13&lt;&gt;"",M13&lt;&gt;""),L13-M13,"")</f>
        <v/>
      </c>
      <c r="O13" s="41">
        <f>IF(I13&lt;=SETTINGS!$B$3,"LOW","OK")</f>
        <v/>
      </c>
      <c r="P13" s="41">
        <f>MAX(0,SETTINGS!$B$4-E13)+MAX(0,SETTINGS!$B$4-F13)+MAX(0,SETTINGS!$B$4-G13)</f>
        <v/>
      </c>
      <c r="Q13" s="37" t="inlineStr"/>
    </row>
    <row r="14">
      <c r="A14" s="25" t="inlineStr">
        <is>
          <t>BEBE-010</t>
        </is>
      </c>
      <c r="B14" s="25" t="inlineStr">
        <is>
          <t>Grumpy Cat</t>
        </is>
      </c>
      <c r="C14" s="25" t="inlineStr">
        <is>
          <t>Gray</t>
        </is>
      </c>
      <c r="D14" s="25" t="inlineStr">
        <is>
          <t>hidden Gem</t>
        </is>
      </c>
      <c r="E14" s="34" t="n">
        <v>1</v>
      </c>
      <c r="F14" s="34" t="n">
        <v>2</v>
      </c>
      <c r="G14" s="34" t="n">
        <v>1</v>
      </c>
      <c r="H14" s="34" t="n">
        <v>0</v>
      </c>
      <c r="I14" s="41">
        <f>SUM(E14:H14)</f>
        <v/>
      </c>
      <c r="J14" s="36" t="n">
        <v>2</v>
      </c>
      <c r="K14" s="41">
        <f>IF(OR(I14="",J14=""),"",I14-J14)</f>
        <v/>
      </c>
      <c r="L14" s="34" t="inlineStr"/>
      <c r="M14" s="34" t="inlineStr"/>
      <c r="N14" s="41">
        <f>IF(AND(L14&lt;&gt;"",M14&lt;&gt;""),L14-M14,"")</f>
        <v/>
      </c>
      <c r="O14" s="41">
        <f>IF(I14&lt;=SETTINGS!$B$3,"LOW","OK")</f>
        <v/>
      </c>
      <c r="P14" s="41">
        <f>MAX(0,SETTINGS!$B$4-E14)+MAX(0,SETTINGS!$B$4-F14)+MAX(0,SETTINGS!$B$4-G14)</f>
        <v/>
      </c>
      <c r="Q14" s="37" t="inlineStr"/>
    </row>
    <row r="15">
      <c r="A15" s="25" t="inlineStr">
        <is>
          <t>BEBE-011</t>
        </is>
      </c>
      <c r="B15" s="25" t="inlineStr">
        <is>
          <t>Calico Butt</t>
        </is>
      </c>
      <c r="C15" s="25" t="inlineStr">
        <is>
          <t>Gray</t>
        </is>
      </c>
      <c r="D15" s="25" t="inlineStr">
        <is>
          <t>hidden Gem</t>
        </is>
      </c>
      <c r="E15" s="34" t="n">
        <v>1</v>
      </c>
      <c r="F15" s="34" t="n">
        <v>0</v>
      </c>
      <c r="G15" s="34" t="n">
        <v>0</v>
      </c>
      <c r="H15" s="34" t="n">
        <v>0</v>
      </c>
      <c r="I15" s="41">
        <f>SUM(E15:H15)</f>
        <v/>
      </c>
      <c r="J15" s="36" t="n">
        <v>1</v>
      </c>
      <c r="K15" s="41">
        <f>IF(OR(I15="",J15=""),"",I15-J15)</f>
        <v/>
      </c>
      <c r="L15" s="34" t="inlineStr"/>
      <c r="M15" s="34" t="inlineStr"/>
      <c r="N15" s="41">
        <f>IF(AND(L15&lt;&gt;"",M15&lt;&gt;""),L15-M15,"")</f>
        <v/>
      </c>
      <c r="O15" s="41">
        <f>IF(I15&lt;=SETTINGS!$B$3,"LOW","OK")</f>
        <v/>
      </c>
      <c r="P15" s="41">
        <f>MAX(0,SETTINGS!$B$4-E15)+MAX(0,SETTINGS!$B$4-F15)+MAX(0,SETTINGS!$B$4-G15)</f>
        <v/>
      </c>
      <c r="Q15" s="37" t="inlineStr"/>
    </row>
    <row r="16">
      <c r="A16" s="25" t="inlineStr">
        <is>
          <t>BEBE-012</t>
        </is>
      </c>
      <c r="B16" s="25" t="inlineStr">
        <is>
          <t>Calico Butt</t>
        </is>
      </c>
      <c r="C16" s="25" t="inlineStr">
        <is>
          <t>Pink</t>
        </is>
      </c>
      <c r="D16" s="25" t="inlineStr">
        <is>
          <t>hidden Gem</t>
        </is>
      </c>
      <c r="E16" s="34" t="n">
        <v>1</v>
      </c>
      <c r="F16" s="34" t="n">
        <v>1</v>
      </c>
      <c r="G16" s="34" t="n">
        <v>1</v>
      </c>
      <c r="H16" s="34" t="n">
        <v>0</v>
      </c>
      <c r="I16" s="41">
        <f>SUM(E16:H16)</f>
        <v/>
      </c>
      <c r="J16" s="36" t="n">
        <v>3</v>
      </c>
      <c r="K16" s="41">
        <f>IF(OR(I16="",J16=""),"",I16-J16)</f>
        <v/>
      </c>
      <c r="L16" s="34" t="inlineStr"/>
      <c r="M16" s="34" t="inlineStr"/>
      <c r="N16" s="41">
        <f>IF(AND(L16&lt;&gt;"",M16&lt;&gt;""),L16-M16,"")</f>
        <v/>
      </c>
      <c r="O16" s="41">
        <f>IF(I16&lt;=SETTINGS!$B$3,"LOW","OK")</f>
        <v/>
      </c>
      <c r="P16" s="41">
        <f>MAX(0,SETTINGS!$B$4-E16)+MAX(0,SETTINGS!$B$4-F16)+MAX(0,SETTINGS!$B$4-G16)</f>
        <v/>
      </c>
      <c r="Q16" s="37" t="inlineStr"/>
    </row>
    <row r="17">
      <c r="A17" s="25" t="inlineStr">
        <is>
          <t>BEBE-013</t>
        </is>
      </c>
      <c r="B17" s="25" t="inlineStr">
        <is>
          <t>Corgi Butt</t>
        </is>
      </c>
      <c r="C17" s="25" t="inlineStr">
        <is>
          <t>Pink</t>
        </is>
      </c>
      <c r="D17" s="25" t="inlineStr">
        <is>
          <t>hidden Gem</t>
        </is>
      </c>
      <c r="E17" s="34" t="n">
        <v>0</v>
      </c>
      <c r="F17" s="34" t="n">
        <v>1</v>
      </c>
      <c r="G17" s="34" t="n">
        <v>0</v>
      </c>
      <c r="H17" s="34" t="n">
        <v>0</v>
      </c>
      <c r="I17" s="41">
        <f>SUM(E17:H17)</f>
        <v/>
      </c>
      <c r="J17" s="36" t="n">
        <v>1</v>
      </c>
      <c r="K17" s="41">
        <f>IF(OR(I17="",J17=""),"",I17-J17)</f>
        <v/>
      </c>
      <c r="L17" s="34" t="inlineStr"/>
      <c r="M17" s="34" t="inlineStr"/>
      <c r="N17" s="41">
        <f>IF(AND(L17&lt;&gt;"",M17&lt;&gt;""),L17-M17,"")</f>
        <v/>
      </c>
      <c r="O17" s="41">
        <f>IF(I17&lt;=SETTINGS!$B$3,"LOW","OK")</f>
        <v/>
      </c>
      <c r="P17" s="41">
        <f>MAX(0,SETTINGS!$B$4-E17)+MAX(0,SETTINGS!$B$4-F17)+MAX(0,SETTINGS!$B$4-G17)</f>
        <v/>
      </c>
      <c r="Q17" s="37" t="inlineStr"/>
    </row>
    <row r="18">
      <c r="A18" s="25" t="inlineStr">
        <is>
          <t>BEBE-014</t>
        </is>
      </c>
      <c r="B18" s="25" t="inlineStr">
        <is>
          <t>Corgi Butt</t>
        </is>
      </c>
      <c r="C18" s="25" t="inlineStr">
        <is>
          <t>Gray</t>
        </is>
      </c>
      <c r="D18" s="25" t="inlineStr">
        <is>
          <t>hidden Gem</t>
        </is>
      </c>
      <c r="E18" s="34" t="n">
        <v>2</v>
      </c>
      <c r="F18" s="34" t="n">
        <v>1</v>
      </c>
      <c r="G18" s="34" t="n">
        <v>1</v>
      </c>
      <c r="H18" s="34" t="n">
        <v>0</v>
      </c>
      <c r="I18" s="41">
        <f>SUM(E18:H18)</f>
        <v/>
      </c>
      <c r="J18" s="36" t="n">
        <v>4</v>
      </c>
      <c r="K18" s="41">
        <f>IF(OR(I18="",J18=""),"",I18-J18)</f>
        <v/>
      </c>
      <c r="L18" s="34" t="inlineStr"/>
      <c r="M18" s="34" t="inlineStr"/>
      <c r="N18" s="41">
        <f>IF(AND(L18&lt;&gt;"",M18&lt;&gt;""),L18-M18,"")</f>
        <v/>
      </c>
      <c r="O18" s="41">
        <f>IF(I18&lt;=SETTINGS!$B$3,"LOW","OK")</f>
        <v/>
      </c>
      <c r="P18" s="41">
        <f>MAX(0,SETTINGS!$B$4-E18)+MAX(0,SETTINGS!$B$4-F18)+MAX(0,SETTINGS!$B$4-G18)</f>
        <v/>
      </c>
      <c r="Q18" s="37" t="inlineStr"/>
    </row>
    <row r="19">
      <c r="A19" s="25" t="inlineStr">
        <is>
          <t>BEBE-015</t>
        </is>
      </c>
      <c r="B19" s="25" t="inlineStr">
        <is>
          <t>Cat Paw XL</t>
        </is>
      </c>
      <c r="C19" s="25" t="inlineStr">
        <is>
          <t>White</t>
        </is>
      </c>
      <c r="D19" s="25" t="inlineStr">
        <is>
          <t>steady Pick</t>
        </is>
      </c>
      <c r="E19" s="34" t="n">
        <v>2</v>
      </c>
      <c r="F19" s="34" t="n">
        <v>2</v>
      </c>
      <c r="G19" s="34" t="n">
        <v>2</v>
      </c>
      <c r="H19" s="34" t="n">
        <v>0</v>
      </c>
      <c r="I19" s="41">
        <f>SUM(E19:H19)</f>
        <v/>
      </c>
      <c r="J19" s="36" t="n">
        <v>5</v>
      </c>
      <c r="K19" s="41">
        <f>IF(OR(I19="",J19=""),"",I19-J19)</f>
        <v/>
      </c>
      <c r="L19" s="34" t="inlineStr"/>
      <c r="M19" s="34" t="inlineStr"/>
      <c r="N19" s="41">
        <f>IF(AND(L19&lt;&gt;"",M19&lt;&gt;""),L19-M19,"")</f>
        <v/>
      </c>
      <c r="O19" s="41">
        <f>IF(I19&lt;=SETTINGS!$B$3,"LOW","OK")</f>
        <v/>
      </c>
      <c r="P19" s="41">
        <f>MAX(0,SETTINGS!$B$4-E19)+MAX(0,SETTINGS!$B$4-F19)+MAX(0,SETTINGS!$B$4-G19)</f>
        <v/>
      </c>
      <c r="Q19" s="37" t="inlineStr"/>
    </row>
    <row r="20">
      <c r="A20" s="25" t="inlineStr">
        <is>
          <t>BEBE-016</t>
        </is>
      </c>
      <c r="B20" s="25" t="inlineStr">
        <is>
          <t>Cat Paw XL</t>
        </is>
      </c>
      <c r="C20" s="25" t="inlineStr">
        <is>
          <t>Black</t>
        </is>
      </c>
      <c r="D20" s="25" t="inlineStr">
        <is>
          <t>steady Pick</t>
        </is>
      </c>
      <c r="E20" s="34" t="n">
        <v>2</v>
      </c>
      <c r="F20" s="34" t="n">
        <v>2</v>
      </c>
      <c r="G20" s="34" t="n">
        <v>2</v>
      </c>
      <c r="H20" s="34" t="n">
        <v>0</v>
      </c>
      <c r="I20" s="41">
        <f>SUM(E20:H20)</f>
        <v/>
      </c>
      <c r="J20" s="36" t="n">
        <v>5</v>
      </c>
      <c r="K20" s="41">
        <f>IF(OR(I20="",J20=""),"",I20-J20)</f>
        <v/>
      </c>
      <c r="L20" s="34" t="inlineStr"/>
      <c r="M20" s="34" t="inlineStr"/>
      <c r="N20" s="41">
        <f>IF(AND(L20&lt;&gt;"",M20&lt;&gt;""),L20-M20,"")</f>
        <v/>
      </c>
      <c r="O20" s="41">
        <f>IF(I20&lt;=SETTINGS!$B$3,"LOW","OK")</f>
        <v/>
      </c>
      <c r="P20" s="41">
        <f>MAX(0,SETTINGS!$B$4-E20)+MAX(0,SETTINGS!$B$4-F20)+MAX(0,SETTINGS!$B$4-G20)</f>
        <v/>
      </c>
      <c r="Q20" s="37" t="inlineStr"/>
    </row>
    <row r="21" ht="15.75" customHeight="1" s="45">
      <c r="A21" s="25" t="inlineStr">
        <is>
          <t>BEBE-017</t>
        </is>
      </c>
      <c r="B21" s="25" t="inlineStr">
        <is>
          <t>Dog Paw XL</t>
        </is>
      </c>
      <c r="C21" s="25" t="inlineStr">
        <is>
          <t>Black</t>
        </is>
      </c>
      <c r="D21" s="25" t="inlineStr">
        <is>
          <t>hidden Gem</t>
        </is>
      </c>
      <c r="E21" s="34" t="n">
        <v>1</v>
      </c>
      <c r="F21" s="34" t="n">
        <v>1</v>
      </c>
      <c r="G21" s="34" t="n">
        <v>1</v>
      </c>
      <c r="H21" s="34" t="n">
        <v>0</v>
      </c>
      <c r="I21" s="41">
        <f>SUM(E21:H21)</f>
        <v/>
      </c>
      <c r="J21" s="36" t="n">
        <v>3</v>
      </c>
      <c r="K21" s="41">
        <f>IF(OR(I21="",J21=""),"",I21-J21)</f>
        <v/>
      </c>
      <c r="L21" s="34" t="inlineStr"/>
      <c r="M21" s="34" t="inlineStr"/>
      <c r="N21" s="41">
        <f>IF(AND(L21&lt;&gt;"",M21&lt;&gt;""),L21-M21,"")</f>
        <v/>
      </c>
      <c r="O21" s="41">
        <f>IF(I21&lt;=SETTINGS!$B$3,"LOW","OK")</f>
        <v/>
      </c>
      <c r="P21" s="41">
        <f>MAX(0,SETTINGS!$B$4-E21)+MAX(0,SETTINGS!$B$4-F21)+MAX(0,SETTINGS!$B$4-G21)</f>
        <v/>
      </c>
      <c r="Q21" s="37" t="inlineStr"/>
    </row>
    <row r="22" ht="15.75" customHeight="1" s="45">
      <c r="A22" s="25" t="inlineStr">
        <is>
          <t>BEBE-018</t>
        </is>
      </c>
      <c r="B22" s="25" t="inlineStr">
        <is>
          <t>Dog Paw XL</t>
        </is>
      </c>
      <c r="C22" s="25" t="inlineStr">
        <is>
          <t>Brown</t>
        </is>
      </c>
      <c r="D22" s="25" t="inlineStr">
        <is>
          <t>hidden Gem</t>
        </is>
      </c>
      <c r="E22" s="34" t="n">
        <v>1</v>
      </c>
      <c r="F22" s="34" t="n">
        <v>2</v>
      </c>
      <c r="G22" s="34" t="n">
        <v>1</v>
      </c>
      <c r="H22" s="34" t="n">
        <v>0</v>
      </c>
      <c r="I22" s="41">
        <f>SUM(E22:H22)</f>
        <v/>
      </c>
      <c r="J22" s="36" t="n">
        <v>4</v>
      </c>
      <c r="K22" s="41">
        <f>IF(OR(I22="",J22=""),"",I22-J22)</f>
        <v/>
      </c>
      <c r="L22" s="34" t="inlineStr"/>
      <c r="M22" s="34" t="inlineStr"/>
      <c r="N22" s="41">
        <f>IF(AND(L22&lt;&gt;"",M22&lt;&gt;""),L22-M22,"")</f>
        <v/>
      </c>
      <c r="O22" s="41">
        <f>IF(I22&lt;=SETTINGS!$B$3,"LOW","OK")</f>
        <v/>
      </c>
      <c r="P22" s="41">
        <f>MAX(0,SETTINGS!$B$4-E22)+MAX(0,SETTINGS!$B$4-F22)+MAX(0,SETTINGS!$B$4-G22)</f>
        <v/>
      </c>
      <c r="Q22" s="37" t="inlineStr"/>
    </row>
    <row r="23" ht="15.75" customHeight="1" s="45">
      <c r="A23" s="25" t="n"/>
      <c r="B23" s="25" t="n"/>
      <c r="C23" s="25" t="n"/>
      <c r="D23" s="25" t="n"/>
      <c r="E23" s="44" t="n"/>
      <c r="F23" s="44" t="n"/>
      <c r="G23" s="44" t="n"/>
      <c r="H23" s="44" t="n"/>
      <c r="I23" s="44" t="n"/>
      <c r="J23" s="44" t="n"/>
      <c r="K23" s="44" t="n"/>
      <c r="L23" s="44" t="n"/>
      <c r="M23" s="44" t="n"/>
      <c r="N23" s="44" t="n"/>
      <c r="O23" s="44" t="n"/>
      <c r="P23" s="44" t="n"/>
      <c r="Q23" s="25" t="n"/>
    </row>
    <row r="24" ht="15.75" customHeight="1" s="45">
      <c r="A24" s="38" t="inlineStr">
        <is>
          <t>Category Totals</t>
        </is>
      </c>
      <c r="B24" s="39" t="inlineStr">
        <is>
          <t>Total Counted</t>
        </is>
      </c>
      <c r="C24" s="40">
        <f>SUM(I5:I24)</f>
        <v/>
      </c>
      <c r="D24" s="39" t="inlineStr">
        <is>
          <t>Original Inventory</t>
        </is>
      </c>
      <c r="E24" s="41">
        <f>SUM(J5:J24)</f>
        <v/>
      </c>
      <c r="F24" s="42" t="inlineStr">
        <is>
          <t>Variance</t>
        </is>
      </c>
      <c r="G24" s="41">
        <f>SUM(K5:K24)</f>
        <v/>
      </c>
      <c r="H24" s="42" t="inlineStr">
        <is>
          <t>Sold Today</t>
        </is>
      </c>
      <c r="I24" s="41">
        <f>SUM(N5:N24)</f>
        <v/>
      </c>
      <c r="J24" s="42" t="inlineStr">
        <is>
          <t>Low Stock SKUs</t>
        </is>
      </c>
      <c r="K24" s="43">
        <f>COUNTIF(O5:O24,"LOW")</f>
        <v/>
      </c>
      <c r="L24" s="42" t="inlineStr">
        <is>
          <t>Refill Needed</t>
        </is>
      </c>
      <c r="M24" s="41">
        <f>SUM(P5:P24)</f>
        <v/>
      </c>
      <c r="N24" s="44" t="n"/>
      <c r="O24" s="44" t="n"/>
      <c r="P24" s="44" t="n"/>
      <c r="Q24" s="25" t="n"/>
    </row>
    <row r="25" ht="15.75" customHeight="1" s="45"/>
    <row r="26" ht="15.75" customHeight="1" s="45"/>
    <row r="27" ht="15.75" customHeight="1" s="45"/>
    <row r="28" ht="15.75" customHeight="1" s="45"/>
    <row r="29" ht="15.75" customHeight="1" s="45"/>
    <row r="30" ht="15.75" customHeight="1" s="45"/>
    <row r="31" ht="15.75" customHeight="1" s="45"/>
    <row r="32" ht="15.75" customHeight="1" s="45"/>
    <row r="33" ht="15.75" customHeight="1" s="45"/>
    <row r="34" ht="15.75" customHeight="1" s="45"/>
    <row r="35" ht="15.75" customHeight="1" s="45"/>
    <row r="36" ht="15.75" customHeight="1" s="45"/>
    <row r="37" ht="15.75" customHeight="1" s="45"/>
    <row r="38" ht="15.75" customHeight="1" s="45"/>
    <row r="39" ht="15.75" customHeight="1" s="45"/>
    <row r="40" ht="15.75" customHeight="1" s="45"/>
    <row r="41" ht="15.75" customHeight="1" s="45"/>
    <row r="42" ht="15.75" customHeight="1" s="45"/>
    <row r="43" ht="15.75" customHeight="1" s="45"/>
    <row r="44" ht="15.75" customHeight="1" s="45"/>
    <row r="45" ht="15.75" customHeight="1" s="45"/>
    <row r="46" ht="15.75" customHeight="1" s="45"/>
    <row r="47" ht="15.75" customHeight="1" s="45"/>
    <row r="48" ht="15.75" customHeight="1" s="45"/>
    <row r="49" ht="15.75" customHeight="1" s="45"/>
    <row r="50" ht="15.75" customHeight="1" s="45"/>
    <row r="51" ht="15.75" customHeight="1" s="45"/>
    <row r="52" ht="15.75" customHeight="1" s="45"/>
    <row r="53" ht="15.75" customHeight="1" s="45"/>
    <row r="54" ht="15.75" customHeight="1" s="45"/>
    <row r="55" ht="15.75" customHeight="1" s="45"/>
    <row r="56" ht="15.75" customHeight="1" s="45"/>
    <row r="57" ht="15.75" customHeight="1" s="45"/>
    <row r="58" ht="15.75" customHeight="1" s="45"/>
    <row r="59" ht="15.75" customHeight="1" s="45"/>
    <row r="60" ht="15.75" customHeight="1" s="45"/>
    <row r="61" ht="15.75" customHeight="1" s="45"/>
    <row r="62" ht="15.75" customHeight="1" s="45"/>
    <row r="63" ht="15.75" customHeight="1" s="45"/>
    <row r="64" ht="15.75" customHeight="1" s="45"/>
    <row r="65" ht="15.75" customHeight="1" s="45"/>
    <row r="66" ht="15.75" customHeight="1" s="45"/>
    <row r="67" ht="15.75" customHeight="1" s="45"/>
    <row r="68" ht="15.75" customHeight="1" s="45"/>
    <row r="69" ht="15.75" customHeight="1" s="45"/>
    <row r="70" ht="15.75" customHeight="1" s="45"/>
    <row r="71" ht="15.75" customHeight="1" s="45"/>
    <row r="72" ht="15.75" customHeight="1" s="45"/>
    <row r="73" ht="15.75" customHeight="1" s="45"/>
    <row r="74" ht="15.75" customHeight="1" s="45"/>
    <row r="75" ht="15.75" customHeight="1" s="45"/>
    <row r="76" ht="15.75" customHeight="1" s="45"/>
    <row r="77" ht="15.75" customHeight="1" s="45"/>
    <row r="78" ht="15.75" customHeight="1" s="45"/>
    <row r="79" ht="15.75" customHeight="1" s="45"/>
    <row r="80" ht="15.75" customHeight="1" s="45"/>
    <row r="81" ht="15.75" customHeight="1" s="45"/>
    <row r="82" ht="15.75" customHeight="1" s="45"/>
    <row r="83" ht="15.75" customHeight="1" s="45"/>
    <row r="84" ht="15.75" customHeight="1" s="45"/>
    <row r="85" ht="15.75" customHeight="1" s="45"/>
    <row r="86" ht="15.75" customHeight="1" s="45"/>
    <row r="87" ht="15.75" customHeight="1" s="45"/>
    <row r="88" ht="15.75" customHeight="1" s="45"/>
    <row r="89" ht="15.75" customHeight="1" s="45"/>
    <row r="90" ht="15.75" customHeight="1" s="45"/>
    <row r="91" ht="15.75" customHeight="1" s="45"/>
    <row r="92" ht="15.75" customHeight="1" s="45"/>
    <row r="93" ht="15.75" customHeight="1" s="45"/>
    <row r="94" ht="15.75" customHeight="1" s="45"/>
    <row r="95" ht="15.75" customHeight="1" s="45"/>
    <row r="96" ht="15.75" customHeight="1" s="45"/>
    <row r="97" ht="15.75" customHeight="1" s="45"/>
    <row r="98" ht="15.75" customHeight="1" s="45"/>
    <row r="99" ht="15.75" customHeight="1" s="45"/>
    <row r="100" ht="15.75" customHeight="1" s="45"/>
    <row r="101" ht="15.75" customHeight="1" s="45"/>
    <row r="102" ht="15.75" customHeight="1" s="45"/>
    <row r="103" ht="15.75" customHeight="1" s="45"/>
    <row r="104" ht="15.75" customHeight="1" s="45"/>
    <row r="105" ht="15.75" customHeight="1" s="45"/>
    <row r="106" ht="15.75" customHeight="1" s="45"/>
    <row r="107" ht="15.75" customHeight="1" s="45"/>
    <row r="108" ht="15.75" customHeight="1" s="45"/>
    <row r="109" ht="15.75" customHeight="1" s="45"/>
    <row r="110" ht="15.75" customHeight="1" s="45"/>
    <row r="111" ht="15.75" customHeight="1" s="45"/>
    <row r="112" ht="15.75" customHeight="1" s="45"/>
    <row r="113" ht="15.75" customHeight="1" s="45"/>
    <row r="114" ht="15.75" customHeight="1" s="45"/>
    <row r="115" ht="15.75" customHeight="1" s="45"/>
    <row r="116" ht="15.75" customHeight="1" s="45"/>
    <row r="117" ht="15.75" customHeight="1" s="45"/>
    <row r="118" ht="15.75" customHeight="1" s="45"/>
    <row r="119" ht="15.75" customHeight="1" s="45"/>
    <row r="120" ht="15.75" customHeight="1" s="45"/>
    <row r="121" ht="15.75" customHeight="1" s="45"/>
    <row r="122" ht="15.75" customHeight="1" s="45"/>
    <row r="123" ht="15.75" customHeight="1" s="45"/>
    <row r="124" ht="15.75" customHeight="1" s="45"/>
    <row r="125" ht="15.75" customHeight="1" s="45"/>
    <row r="126" ht="15.75" customHeight="1" s="45"/>
    <row r="127" ht="15.75" customHeight="1" s="45"/>
    <row r="128" ht="15.75" customHeight="1" s="45"/>
    <row r="129" ht="15.75" customHeight="1" s="45"/>
    <row r="130" ht="15.75" customHeight="1" s="45"/>
    <row r="131" ht="15.75" customHeight="1" s="45"/>
    <row r="132" ht="15.75" customHeight="1" s="45"/>
    <row r="133" ht="15.75" customHeight="1" s="45"/>
    <row r="134" ht="15.75" customHeight="1" s="45"/>
    <row r="135" ht="15.75" customHeight="1" s="45"/>
    <row r="136" ht="15.75" customHeight="1" s="45"/>
    <row r="137" ht="15.75" customHeight="1" s="45"/>
    <row r="138" ht="15.75" customHeight="1" s="45"/>
    <row r="139" ht="15.75" customHeight="1" s="45"/>
    <row r="140" ht="15.75" customHeight="1" s="45"/>
    <row r="141" ht="15.75" customHeight="1" s="45"/>
    <row r="142" ht="15.75" customHeight="1" s="45"/>
    <row r="143" ht="15.75" customHeight="1" s="45"/>
    <row r="144" ht="15.75" customHeight="1" s="45"/>
    <row r="145" ht="15.75" customHeight="1" s="45"/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2">
    <mergeCell ref="A2:Q2"/>
    <mergeCell ref="A1:Q1"/>
  </mergeCells>
  <conditionalFormatting sqref="O5:O22">
    <cfRule type="expression" priority="1" dxfId="4">
      <formula>$O5="LOW"</formula>
    </cfRule>
  </conditionalFormatting>
  <conditionalFormatting sqref="K5:K22">
    <cfRule type="cellIs" priority="2" operator="lessThan" dxfId="5">
      <formula>0</formula>
    </cfRule>
  </conditionalFormatting>
  <conditionalFormatting sqref="N5:N22">
    <cfRule type="cellIs" priority="3" operator="greaterThan" dxfId="6">
      <formula>0</formula>
    </cfRule>
  </conditionalFormatting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R22"/>
  <sheetViews>
    <sheetView showGridLines="0" workbookViewId="0">
      <selection activeCell="A1" sqref="A1"/>
    </sheetView>
  </sheetViews>
  <sheetFormatPr baseColWidth="8" defaultColWidth="14.43" defaultRowHeight="15" customHeight="1"/>
  <cols>
    <col width="12" customWidth="1" style="45" min="1" max="1"/>
    <col width="22" customWidth="1" style="45" min="2" max="2"/>
    <col width="20" customWidth="1" style="45" min="3" max="3"/>
    <col width="16" customWidth="1" style="45" min="4" max="4"/>
    <col width="10" customWidth="1" style="45" min="5" max="7"/>
    <col width="12" customWidth="1" style="45" min="8" max="9"/>
    <col width="14" customWidth="1" style="45" min="10" max="11"/>
    <col width="11" customWidth="1" style="45" min="12" max="14"/>
    <col width="10" customWidth="1" style="45" min="15" max="15"/>
    <col width="12" customWidth="1" style="45" min="16" max="16"/>
    <col width="18" customWidth="1" style="45" min="17" max="17"/>
    <col width="8.710000000000001" customWidth="1" style="45" min="18" max="26"/>
  </cols>
  <sheetData>
    <row r="1">
      <c r="A1" s="46" t="inlineStr">
        <is>
          <t>BEBEDOGS Inventory</t>
        </is>
      </c>
    </row>
    <row r="2">
      <c r="A2" s="49" t="inlineStr">
        <is>
          <t>Update blue cells only. Everything else updates automatically.</t>
        </is>
      </c>
    </row>
    <row r="3">
      <c r="A3" s="25" t="n"/>
      <c r="B3" s="25" t="n"/>
      <c r="C3" s="25" t="n"/>
      <c r="D3" s="25" t="n"/>
      <c r="E3" s="44" t="n"/>
      <c r="F3" s="44" t="n"/>
      <c r="G3" s="44" t="n"/>
      <c r="H3" s="44" t="n"/>
      <c r="I3" s="44" t="n"/>
      <c r="J3" s="44" t="n"/>
      <c r="K3" s="44" t="n"/>
      <c r="L3" s="44" t="n"/>
      <c r="M3" s="44" t="n"/>
      <c r="N3" s="44" t="n"/>
      <c r="O3" s="44" t="n"/>
      <c r="P3" s="44" t="n"/>
      <c r="Q3" s="25" t="n"/>
    </row>
    <row r="4">
      <c r="A4" s="22" t="inlineStr">
        <is>
          <t>SKU</t>
        </is>
      </c>
      <c r="B4" s="22" t="inlineStr">
        <is>
          <t>Item</t>
        </is>
      </c>
      <c r="C4" s="22" t="inlineStr">
        <is>
          <t>Color / Variant</t>
        </is>
      </c>
      <c r="D4" s="22" t="inlineStr">
        <is>
          <t>Tag</t>
        </is>
      </c>
      <c r="E4" s="24" t="inlineStr">
        <is>
          <t>Display A</t>
        </is>
      </c>
      <c r="F4" s="24" t="inlineStr">
        <is>
          <t>Display B</t>
        </is>
      </c>
      <c r="G4" s="24" t="inlineStr">
        <is>
          <t>Display C</t>
        </is>
      </c>
      <c r="H4" s="24" t="inlineStr">
        <is>
          <t>Back Stock</t>
        </is>
      </c>
      <c r="I4" s="24" t="inlineStr">
        <is>
          <t>Total Counted</t>
        </is>
      </c>
      <c r="J4" s="24" t="inlineStr">
        <is>
          <t>Original Inventory</t>
        </is>
      </c>
      <c r="K4" s="24" t="inlineStr">
        <is>
          <t>Variance vs Original</t>
        </is>
      </c>
      <c r="L4" s="24" t="inlineStr">
        <is>
          <t>Day Start</t>
        </is>
      </c>
      <c r="M4" s="24" t="inlineStr">
        <is>
          <t>Day End</t>
        </is>
      </c>
      <c r="N4" s="24" t="inlineStr">
        <is>
          <t>Sold Today</t>
        </is>
      </c>
      <c r="O4" s="24" t="inlineStr">
        <is>
          <t>Low Stock</t>
        </is>
      </c>
      <c r="P4" s="24" t="inlineStr">
        <is>
          <t>Refill Needed</t>
        </is>
      </c>
      <c r="Q4" s="22" t="inlineStr">
        <is>
          <t>Notes</t>
        </is>
      </c>
      <c r="R4" s="0" t="inlineStr">
        <is>
          <t>IP</t>
        </is>
      </c>
    </row>
    <row r="5">
      <c r="A5" s="25" t="inlineStr">
        <is>
          <t>BEBE-001</t>
        </is>
      </c>
      <c r="B5" s="25" t="inlineStr">
        <is>
          <t>German Shepherd</t>
        </is>
      </c>
      <c r="C5" s="25" t="inlineStr"/>
      <c r="D5" s="25" t="inlineStr"/>
      <c r="E5" s="34" t="n">
        <v>7</v>
      </c>
      <c r="F5" s="34" t="n">
        <v>4</v>
      </c>
      <c r="G5" s="34" t="n">
        <v>3</v>
      </c>
      <c r="H5" s="34" t="n">
        <v>0</v>
      </c>
      <c r="I5" s="41">
        <f>SUM(E5:H5)</f>
        <v/>
      </c>
      <c r="J5" s="36" t="n">
        <v>14</v>
      </c>
      <c r="K5" s="41">
        <f>IF(OR(I5="",J5=""),"",I5-J5)</f>
        <v/>
      </c>
      <c r="L5" s="34" t="inlineStr"/>
      <c r="M5" s="34" t="inlineStr"/>
      <c r="N5" s="41">
        <f>IF(AND(L5&lt;&gt;"",M5&lt;&gt;""),L5-M5,"")</f>
        <v/>
      </c>
      <c r="O5" s="41">
        <f>IF(I5&lt;=SETTINGS!$B$3,"LOW","OK")</f>
        <v/>
      </c>
      <c r="P5" s="41">
        <f>MAX(0,SETTINGS!$B$4-E5)+MAX(0,SETTINGS!$B$4-F5)+MAX(0,SETTINGS!$B$4-G5)</f>
        <v/>
      </c>
      <c r="Q5" s="37" t="inlineStr"/>
    </row>
    <row r="6">
      <c r="A6" s="25" t="inlineStr">
        <is>
          <t>BEBE-002</t>
        </is>
      </c>
      <c r="B6" s="25" t="inlineStr">
        <is>
          <t>Pug</t>
        </is>
      </c>
      <c r="C6" s="25" t="inlineStr"/>
      <c r="D6" s="25" t="inlineStr"/>
      <c r="E6" s="34" t="n">
        <v>3</v>
      </c>
      <c r="F6" s="34" t="n">
        <v>2</v>
      </c>
      <c r="G6" s="34" t="n">
        <v>1</v>
      </c>
      <c r="H6" s="34" t="n">
        <v>0</v>
      </c>
      <c r="I6" s="41">
        <f>SUM(E6:H6)</f>
        <v/>
      </c>
      <c r="J6" s="36" t="n">
        <v>6</v>
      </c>
      <c r="K6" s="41">
        <f>IF(OR(I6="",J6=""),"",I6-J6)</f>
        <v/>
      </c>
      <c r="L6" s="34" t="inlineStr"/>
      <c r="M6" s="34" t="inlineStr"/>
      <c r="N6" s="41">
        <f>IF(AND(L6&lt;&gt;"",M6&lt;&gt;""),L6-M6,"")</f>
        <v/>
      </c>
      <c r="O6" s="41">
        <f>IF(I6&lt;=SETTINGS!$B$3,"LOW","OK")</f>
        <v/>
      </c>
      <c r="P6" s="41">
        <f>MAX(0,SETTINGS!$B$4-E6)+MAX(0,SETTINGS!$B$4-F6)+MAX(0,SETTINGS!$B$4-G6)</f>
        <v/>
      </c>
      <c r="Q6" s="37" t="inlineStr"/>
    </row>
    <row r="7">
      <c r="A7" s="25" t="inlineStr">
        <is>
          <t>BEBE-003</t>
        </is>
      </c>
      <c r="B7" s="25" t="inlineStr">
        <is>
          <t>Boxer</t>
        </is>
      </c>
      <c r="C7" s="25" t="inlineStr"/>
      <c r="D7" s="25" t="inlineStr"/>
      <c r="E7" s="34" t="n">
        <v>3</v>
      </c>
      <c r="F7" s="34" t="n">
        <v>2</v>
      </c>
      <c r="G7" s="34" t="n">
        <v>2</v>
      </c>
      <c r="H7" s="34" t="n">
        <v>0</v>
      </c>
      <c r="I7" s="41">
        <f>SUM(E7:H7)</f>
        <v/>
      </c>
      <c r="J7" s="36" t="n">
        <v>7</v>
      </c>
      <c r="K7" s="41">
        <f>IF(OR(I7="",J7=""),"",I7-J7)</f>
        <v/>
      </c>
      <c r="L7" s="34" t="inlineStr"/>
      <c r="M7" s="34" t="inlineStr"/>
      <c r="N7" s="41">
        <f>IF(AND(L7&lt;&gt;"",M7&lt;&gt;""),L7-M7,"")</f>
        <v/>
      </c>
      <c r="O7" s="41">
        <f>IF(I7&lt;=SETTINGS!$B$3,"LOW","OK")</f>
        <v/>
      </c>
      <c r="P7" s="41">
        <f>MAX(0,SETTINGS!$B$4-E7)+MAX(0,SETTINGS!$B$4-F7)+MAX(0,SETTINGS!$B$4-G7)</f>
        <v/>
      </c>
      <c r="Q7" s="37" t="inlineStr"/>
    </row>
    <row r="8">
      <c r="A8" s="25" t="inlineStr">
        <is>
          <t>BEBE-004</t>
        </is>
      </c>
      <c r="B8" s="25" t="inlineStr">
        <is>
          <t>Dalmatian</t>
        </is>
      </c>
      <c r="C8" s="25" t="inlineStr"/>
      <c r="D8" s="25" t="inlineStr"/>
      <c r="E8" s="34" t="n">
        <v>3</v>
      </c>
      <c r="F8" s="34" t="n">
        <v>2</v>
      </c>
      <c r="G8" s="34" t="n">
        <v>2</v>
      </c>
      <c r="H8" s="34" t="n">
        <v>0</v>
      </c>
      <c r="I8" s="41">
        <f>SUM(E8:H8)</f>
        <v/>
      </c>
      <c r="J8" s="36" t="n">
        <v>7</v>
      </c>
      <c r="K8" s="41">
        <f>IF(OR(I8="",J8=""),"",I8-J8)</f>
        <v/>
      </c>
      <c r="L8" s="34" t="inlineStr"/>
      <c r="M8" s="34" t="inlineStr"/>
      <c r="N8" s="41">
        <f>IF(AND(L8&lt;&gt;"",M8&lt;&gt;""),L8-M8,"")</f>
        <v/>
      </c>
      <c r="O8" s="41">
        <f>IF(I8&lt;=SETTINGS!$B$3,"LOW","OK")</f>
        <v/>
      </c>
      <c r="P8" s="41">
        <f>MAX(0,SETTINGS!$B$4-E8)+MAX(0,SETTINGS!$B$4-F8)+MAX(0,SETTINGS!$B$4-G8)</f>
        <v/>
      </c>
      <c r="Q8" s="37" t="inlineStr"/>
    </row>
    <row r="9">
      <c r="A9" s="25" t="inlineStr">
        <is>
          <t>BEBE-005</t>
        </is>
      </c>
      <c r="B9" s="25" t="inlineStr">
        <is>
          <t>Yorkshire Terrier</t>
        </is>
      </c>
      <c r="C9" s="25" t="inlineStr"/>
      <c r="D9" s="25" t="inlineStr"/>
      <c r="E9" s="34" t="n">
        <v>5</v>
      </c>
      <c r="F9" s="34" t="n">
        <v>4</v>
      </c>
      <c r="G9" s="34" t="n">
        <v>3</v>
      </c>
      <c r="H9" s="34" t="n">
        <v>0</v>
      </c>
      <c r="I9" s="41">
        <f>SUM(E9:H9)</f>
        <v/>
      </c>
      <c r="J9" s="36" t="n">
        <v>12</v>
      </c>
      <c r="K9" s="41">
        <f>IF(OR(I9="",J9=""),"",I9-J9)</f>
        <v/>
      </c>
      <c r="L9" s="34" t="inlineStr"/>
      <c r="M9" s="34" t="inlineStr"/>
      <c r="N9" s="41">
        <f>IF(AND(L9&lt;&gt;"",M9&lt;&gt;""),L9-M9,"")</f>
        <v/>
      </c>
      <c r="O9" s="41">
        <f>IF(I9&lt;=SETTINGS!$B$3,"LOW","OK")</f>
        <v/>
      </c>
      <c r="P9" s="41">
        <f>MAX(0,SETTINGS!$B$4-E9)+MAX(0,SETTINGS!$B$4-F9)+MAX(0,SETTINGS!$B$4-G9)</f>
        <v/>
      </c>
      <c r="Q9" s="37" t="inlineStr"/>
    </row>
    <row r="10">
      <c r="A10" s="25" t="inlineStr">
        <is>
          <t>BEBE-006</t>
        </is>
      </c>
      <c r="B10" s="25" t="inlineStr">
        <is>
          <t>Terrier</t>
        </is>
      </c>
      <c r="C10" s="25" t="inlineStr"/>
      <c r="D10" s="25" t="inlineStr"/>
      <c r="E10" s="34" t="n">
        <v>4</v>
      </c>
      <c r="F10" s="34" t="n">
        <v>2</v>
      </c>
      <c r="G10" s="34" t="n">
        <v>2</v>
      </c>
      <c r="H10" s="34" t="n">
        <v>0</v>
      </c>
      <c r="I10" s="41">
        <f>SUM(E10:H10)</f>
        <v/>
      </c>
      <c r="J10" s="36" t="n">
        <v>8</v>
      </c>
      <c r="K10" s="41">
        <f>IF(OR(I10="",J10=""),"",I10-J10)</f>
        <v/>
      </c>
      <c r="L10" s="34" t="inlineStr"/>
      <c r="M10" s="34" t="inlineStr"/>
      <c r="N10" s="41">
        <f>IF(AND(L10&lt;&gt;"",M10&lt;&gt;""),L10-M10,"")</f>
        <v/>
      </c>
      <c r="O10" s="41">
        <f>IF(I10&lt;=SETTINGS!$B$3,"LOW","OK")</f>
        <v/>
      </c>
      <c r="P10" s="41">
        <f>MAX(0,SETTINGS!$B$4-E10)+MAX(0,SETTINGS!$B$4-F10)+MAX(0,SETTINGS!$B$4-G10)</f>
        <v/>
      </c>
      <c r="Q10" s="37" t="inlineStr"/>
    </row>
    <row r="11">
      <c r="A11" s="25" t="inlineStr">
        <is>
          <t>BEBE-007</t>
        </is>
      </c>
      <c r="B11" s="25" t="inlineStr">
        <is>
          <t>Pomeranian</t>
        </is>
      </c>
      <c r="C11" s="25" t="inlineStr"/>
      <c r="D11" s="25" t="inlineStr"/>
      <c r="E11" s="34" t="n">
        <v>9</v>
      </c>
      <c r="F11" s="34" t="n">
        <v>9</v>
      </c>
      <c r="G11" s="34" t="n">
        <v>6</v>
      </c>
      <c r="H11" s="34" t="n">
        <v>0</v>
      </c>
      <c r="I11" s="41">
        <f>SUM(E11:H11)</f>
        <v/>
      </c>
      <c r="J11" s="36" t="n">
        <v>24</v>
      </c>
      <c r="K11" s="41">
        <f>IF(OR(I11="",J11=""),"",I11-J11)</f>
        <v/>
      </c>
      <c r="L11" s="34" t="inlineStr"/>
      <c r="M11" s="34" t="inlineStr"/>
      <c r="N11" s="41">
        <f>IF(AND(L11&lt;&gt;"",M11&lt;&gt;""),L11-M11,"")</f>
        <v/>
      </c>
      <c r="O11" s="41">
        <f>IF(I11&lt;=SETTINGS!$B$3,"LOW","OK")</f>
        <v/>
      </c>
      <c r="P11" s="41">
        <f>MAX(0,SETTINGS!$B$4-E11)+MAX(0,SETTINGS!$B$4-F11)+MAX(0,SETTINGS!$B$4-G11)</f>
        <v/>
      </c>
      <c r="Q11" s="37" t="inlineStr"/>
    </row>
    <row r="12">
      <c r="A12" s="25" t="inlineStr">
        <is>
          <t>BEBE-008</t>
        </is>
      </c>
      <c r="B12" s="25" t="inlineStr">
        <is>
          <t>Corgi</t>
        </is>
      </c>
      <c r="C12" s="25" t="inlineStr"/>
      <c r="D12" s="25" t="inlineStr"/>
      <c r="E12" s="34" t="n">
        <v>9</v>
      </c>
      <c r="F12" s="34" t="n">
        <v>9</v>
      </c>
      <c r="G12" s="34" t="n">
        <v>9</v>
      </c>
      <c r="H12" s="34" t="n">
        <v>0</v>
      </c>
      <c r="I12" s="41">
        <f>SUM(E12:H12)</f>
        <v/>
      </c>
      <c r="J12" s="36" t="inlineStr"/>
      <c r="K12" s="41">
        <f>IF(OR(I12="",J12=""),"",I12-J12)</f>
        <v/>
      </c>
      <c r="L12" s="34" t="inlineStr"/>
      <c r="M12" s="34" t="inlineStr"/>
      <c r="N12" s="41">
        <f>IF(AND(L12&lt;&gt;"",M12&lt;&gt;""),L12-M12,"")</f>
        <v/>
      </c>
      <c r="O12" s="41">
        <f>IF(I12&lt;=SETTINGS!$B$3,"LOW","OK")</f>
        <v/>
      </c>
      <c r="P12" s="41">
        <f>MAX(0,SETTINGS!$B$4-E12)+MAX(0,SETTINGS!$B$4-F12)+MAX(0,SETTINGS!$B$4-G12)</f>
        <v/>
      </c>
      <c r="Q12" s="37" t="inlineStr"/>
    </row>
    <row r="13">
      <c r="A13" s="25" t="inlineStr">
        <is>
          <t>BEBE-009</t>
        </is>
      </c>
      <c r="B13" s="25" t="inlineStr">
        <is>
          <t>Pitbull</t>
        </is>
      </c>
      <c r="C13" s="25" t="inlineStr"/>
      <c r="D13" s="25" t="inlineStr"/>
      <c r="E13" s="34" t="n">
        <v>2</v>
      </c>
      <c r="F13" s="34" t="n">
        <v>1</v>
      </c>
      <c r="G13" s="34" t="n">
        <v>1</v>
      </c>
      <c r="H13" s="34" t="n">
        <v>0</v>
      </c>
      <c r="I13" s="41">
        <f>SUM(E13:H13)</f>
        <v/>
      </c>
      <c r="J13" s="36" t="inlineStr"/>
      <c r="K13" s="41">
        <f>IF(OR(I13="",J13=""),"",I13-J13)</f>
        <v/>
      </c>
      <c r="L13" s="34" t="inlineStr"/>
      <c r="M13" s="34" t="inlineStr"/>
      <c r="N13" s="41">
        <f>IF(AND(L13&lt;&gt;"",M13&lt;&gt;""),L13-M13,"")</f>
        <v/>
      </c>
      <c r="O13" s="41">
        <f>IF(I13&lt;=SETTINGS!$B$3,"LOW","OK")</f>
        <v/>
      </c>
      <c r="P13" s="41">
        <f>MAX(0,SETTINGS!$B$4-E13)+MAX(0,SETTINGS!$B$4-F13)+MAX(0,SETTINGS!$B$4-G13)</f>
        <v/>
      </c>
      <c r="Q13" s="37" t="inlineStr"/>
    </row>
    <row r="14">
      <c r="A14" s="25" t="inlineStr">
        <is>
          <t>BEBE-010</t>
        </is>
      </c>
      <c r="B14" s="25" t="inlineStr">
        <is>
          <t>Rottweiler</t>
        </is>
      </c>
      <c r="C14" s="25" t="inlineStr"/>
      <c r="D14" s="25" t="inlineStr"/>
      <c r="E14" s="34" t="n">
        <v>4</v>
      </c>
      <c r="F14" s="34" t="n">
        <v>3</v>
      </c>
      <c r="G14" s="34" t="n">
        <v>3</v>
      </c>
      <c r="H14" s="34" t="n">
        <v>0</v>
      </c>
      <c r="I14" s="41">
        <f>SUM(E14:H14)</f>
        <v/>
      </c>
      <c r="J14" s="36" t="inlineStr"/>
      <c r="K14" s="41">
        <f>IF(OR(I14="",J14=""),"",I14-J14)</f>
        <v/>
      </c>
      <c r="L14" s="34" t="inlineStr"/>
      <c r="M14" s="34" t="inlineStr"/>
      <c r="N14" s="41">
        <f>IF(AND(L14&lt;&gt;"",M14&lt;&gt;""),L14-M14,"")</f>
        <v/>
      </c>
      <c r="O14" s="41">
        <f>IF(I14&lt;=SETTINGS!$B$3,"LOW","OK")</f>
        <v/>
      </c>
      <c r="P14" s="41">
        <f>MAX(0,SETTINGS!$B$4-E14)+MAX(0,SETTINGS!$B$4-F14)+MAX(0,SETTINGS!$B$4-G14)</f>
        <v/>
      </c>
      <c r="Q14" s="37" t="inlineStr"/>
    </row>
    <row r="15">
      <c r="A15" s="25" t="inlineStr">
        <is>
          <t>BEBE-011</t>
        </is>
      </c>
      <c r="B15" s="25" t="inlineStr">
        <is>
          <t>Retriever</t>
        </is>
      </c>
      <c r="C15" s="25" t="inlineStr"/>
      <c r="D15" s="25" t="inlineStr"/>
      <c r="E15" s="34" t="n">
        <v>4</v>
      </c>
      <c r="F15" s="34" t="n">
        <v>3</v>
      </c>
      <c r="G15" s="34" t="n">
        <v>2</v>
      </c>
      <c r="H15" s="34" t="n">
        <v>0</v>
      </c>
      <c r="I15" s="41">
        <f>SUM(E15:H15)</f>
        <v/>
      </c>
      <c r="J15" s="36" t="inlineStr"/>
      <c r="K15" s="41">
        <f>IF(OR(I15="",J15=""),"",I15-J15)</f>
        <v/>
      </c>
      <c r="L15" s="34" t="inlineStr"/>
      <c r="M15" s="34" t="inlineStr"/>
      <c r="N15" s="41">
        <f>IF(AND(L15&lt;&gt;"",M15&lt;&gt;""),L15-M15,"")</f>
        <v/>
      </c>
      <c r="O15" s="41">
        <f>IF(I15&lt;=SETTINGS!$B$3,"LOW","OK")</f>
        <v/>
      </c>
      <c r="P15" s="41">
        <f>MAX(0,SETTINGS!$B$4-E15)+MAX(0,SETTINGS!$B$4-F15)+MAX(0,SETTINGS!$B$4-G15)</f>
        <v/>
      </c>
      <c r="Q15" s="37" t="inlineStr"/>
    </row>
    <row r="16">
      <c r="A16" s="25" t="inlineStr">
        <is>
          <t>BEBE-012</t>
        </is>
      </c>
      <c r="B16" s="25" t="inlineStr">
        <is>
          <t>Husky</t>
        </is>
      </c>
      <c r="C16" s="25" t="inlineStr"/>
      <c r="D16" s="25" t="inlineStr"/>
      <c r="E16" s="34" t="n">
        <v>7</v>
      </c>
      <c r="F16" s="34" t="n">
        <v>9</v>
      </c>
      <c r="G16" s="34" t="n">
        <v>9</v>
      </c>
      <c r="H16" s="34" t="n">
        <v>0</v>
      </c>
      <c r="I16" s="41">
        <f>SUM(E16:H16)</f>
        <v/>
      </c>
      <c r="J16" s="36" t="inlineStr"/>
      <c r="K16" s="41">
        <f>IF(OR(I16="",J16=""),"",I16-J16)</f>
        <v/>
      </c>
      <c r="L16" s="34" t="inlineStr"/>
      <c r="M16" s="34" t="inlineStr"/>
      <c r="N16" s="41">
        <f>IF(AND(L16&lt;&gt;"",M16&lt;&gt;""),L16-M16,"")</f>
        <v/>
      </c>
      <c r="O16" s="41">
        <f>IF(I16&lt;=SETTINGS!$B$3,"LOW","OK")</f>
        <v/>
      </c>
      <c r="P16" s="41">
        <f>MAX(0,SETTINGS!$B$4-E16)+MAX(0,SETTINGS!$B$4-F16)+MAX(0,SETTINGS!$B$4-G16)</f>
        <v/>
      </c>
      <c r="Q16" s="37" t="inlineStr"/>
    </row>
    <row r="17">
      <c r="A17" s="25" t="inlineStr">
        <is>
          <t>BEBE-013</t>
        </is>
      </c>
      <c r="B17" s="25" t="inlineStr">
        <is>
          <t>Beagle</t>
        </is>
      </c>
      <c r="C17" s="25" t="inlineStr"/>
      <c r="D17" s="25" t="inlineStr"/>
      <c r="E17" s="34" t="n">
        <v>3</v>
      </c>
      <c r="F17" s="34" t="n">
        <v>2</v>
      </c>
      <c r="G17" s="34" t="n">
        <v>2</v>
      </c>
      <c r="H17" s="34" t="n">
        <v>0</v>
      </c>
      <c r="I17" s="41">
        <f>SUM(E17:H17)</f>
        <v/>
      </c>
      <c r="J17" s="36" t="inlineStr"/>
      <c r="K17" s="41">
        <f>IF(OR(I17="",J17=""),"",I17-J17)</f>
        <v/>
      </c>
      <c r="L17" s="34" t="inlineStr"/>
      <c r="M17" s="34" t="inlineStr"/>
      <c r="N17" s="41">
        <f>IF(AND(L17&lt;&gt;"",M17&lt;&gt;""),L17-M17,"")</f>
        <v/>
      </c>
      <c r="O17" s="41">
        <f>IF(I17&lt;=SETTINGS!$B$3,"LOW","OK")</f>
        <v/>
      </c>
      <c r="P17" s="41">
        <f>MAX(0,SETTINGS!$B$4-E17)+MAX(0,SETTINGS!$B$4-F17)+MAX(0,SETTINGS!$B$4-G17)</f>
        <v/>
      </c>
      <c r="Q17" s="37" t="inlineStr"/>
    </row>
    <row r="18">
      <c r="A18" s="25" t="inlineStr">
        <is>
          <t>BEBE-014</t>
        </is>
      </c>
      <c r="B18" s="25" t="inlineStr">
        <is>
          <t>Cocker Spaniel</t>
        </is>
      </c>
      <c r="C18" s="25" t="inlineStr"/>
      <c r="D18" s="25" t="inlineStr"/>
      <c r="E18" s="34" t="n">
        <v>4</v>
      </c>
      <c r="F18" s="34" t="n">
        <v>4</v>
      </c>
      <c r="G18" s="34" t="n">
        <v>3</v>
      </c>
      <c r="H18" s="34" t="n">
        <v>0</v>
      </c>
      <c r="I18" s="41">
        <f>SUM(E18:H18)</f>
        <v/>
      </c>
      <c r="J18" s="36" t="inlineStr"/>
      <c r="K18" s="41">
        <f>IF(OR(I18="",J18=""),"",I18-J18)</f>
        <v/>
      </c>
      <c r="L18" s="34" t="inlineStr"/>
      <c r="M18" s="34" t="inlineStr"/>
      <c r="N18" s="41">
        <f>IF(AND(L18&lt;&gt;"",M18&lt;&gt;""),L18-M18,"")</f>
        <v/>
      </c>
      <c r="O18" s="41">
        <f>IF(I18&lt;=SETTINGS!$B$3,"LOW","OK")</f>
        <v/>
      </c>
      <c r="P18" s="41">
        <f>MAX(0,SETTINGS!$B$4-E18)+MAX(0,SETTINGS!$B$4-F18)+MAX(0,SETTINGS!$B$4-G18)</f>
        <v/>
      </c>
      <c r="Q18" s="37" t="inlineStr"/>
    </row>
    <row r="19">
      <c r="A19" s="25" t="inlineStr">
        <is>
          <t>BEBE-015</t>
        </is>
      </c>
      <c r="B19" s="25" t="inlineStr">
        <is>
          <t>Dachschund</t>
        </is>
      </c>
      <c r="C19" s="25" t="inlineStr"/>
      <c r="D19" s="25" t="inlineStr"/>
      <c r="E19" s="34" t="n">
        <v>6</v>
      </c>
      <c r="F19" s="34" t="n">
        <v>6</v>
      </c>
      <c r="G19" s="34" t="n">
        <v>6</v>
      </c>
      <c r="H19" s="34" t="n">
        <v>0</v>
      </c>
      <c r="I19" s="41">
        <f>SUM(E19:H19)</f>
        <v/>
      </c>
      <c r="J19" s="36" t="inlineStr"/>
      <c r="K19" s="41">
        <f>IF(OR(I19="",J19=""),"",I19-J19)</f>
        <v/>
      </c>
      <c r="L19" s="34" t="inlineStr"/>
      <c r="M19" s="34" t="inlineStr"/>
      <c r="N19" s="41">
        <f>IF(AND(L19&lt;&gt;"",M19&lt;&gt;""),L19-M19,"")</f>
        <v/>
      </c>
      <c r="O19" s="41">
        <f>IF(I19&lt;=SETTINGS!$B$3,"LOW","OK")</f>
        <v/>
      </c>
      <c r="P19" s="41">
        <f>MAX(0,SETTINGS!$B$4-E19)+MAX(0,SETTINGS!$B$4-F19)+MAX(0,SETTINGS!$B$4-G19)</f>
        <v/>
      </c>
      <c r="Q19" s="37" t="inlineStr"/>
    </row>
    <row r="20">
      <c r="A20" s="25" t="inlineStr">
        <is>
          <t>BEBE-016</t>
        </is>
      </c>
      <c r="B20" s="25" t="inlineStr">
        <is>
          <t>Shih Tzu</t>
        </is>
      </c>
      <c r="C20" s="25" t="inlineStr"/>
      <c r="D20" s="25" t="inlineStr"/>
      <c r="E20" s="34" t="n">
        <v>19</v>
      </c>
      <c r="F20" s="34" t="n">
        <v>24</v>
      </c>
      <c r="G20" s="34" t="n">
        <v>24</v>
      </c>
      <c r="H20" s="34" t="n">
        <v>0</v>
      </c>
      <c r="I20" s="41">
        <f>SUM(E20:H20)</f>
        <v/>
      </c>
      <c r="J20" s="36" t="inlineStr"/>
      <c r="K20" s="41">
        <f>IF(OR(I20="",J20=""),"",I20-J20)</f>
        <v/>
      </c>
      <c r="L20" s="34" t="inlineStr"/>
      <c r="M20" s="34" t="inlineStr"/>
      <c r="N20" s="41">
        <f>IF(AND(L20&lt;&gt;"",M20&lt;&gt;""),L20-M20,"")</f>
        <v/>
      </c>
      <c r="O20" s="41">
        <f>IF(I20&lt;=SETTINGS!$B$3,"LOW","OK")</f>
        <v/>
      </c>
      <c r="P20" s="41">
        <f>MAX(0,SETTINGS!$B$4-E20)+MAX(0,SETTINGS!$B$4-F20)+MAX(0,SETTINGS!$B$4-G20)</f>
        <v/>
      </c>
      <c r="Q20" s="37" t="inlineStr"/>
    </row>
    <row r="21" ht="15.75" customHeight="1" s="45">
      <c r="A21" s="25" t="n"/>
      <c r="B21" s="25" t="n"/>
      <c r="C21" s="25" t="n"/>
      <c r="D21" s="25" t="n"/>
      <c r="E21" s="44" t="n"/>
      <c r="F21" s="44" t="n"/>
      <c r="G21" s="44" t="n"/>
      <c r="H21" s="44" t="n"/>
      <c r="I21" s="44" t="n"/>
      <c r="J21" s="44" t="n"/>
      <c r="K21" s="44" t="n"/>
      <c r="L21" s="44" t="n"/>
      <c r="M21" s="44" t="n"/>
      <c r="N21" s="44" t="n"/>
      <c r="O21" s="44" t="n"/>
      <c r="P21" s="44" t="n"/>
      <c r="Q21" s="25" t="n"/>
    </row>
    <row r="22" ht="15.75" customHeight="1" s="45">
      <c r="A22" s="38" t="inlineStr">
        <is>
          <t>Category Totals</t>
        </is>
      </c>
      <c r="B22" s="39" t="inlineStr">
        <is>
          <t>Total Counted</t>
        </is>
      </c>
      <c r="C22" s="40">
        <f>SUM(I5:I22)</f>
        <v/>
      </c>
      <c r="D22" s="39" t="inlineStr">
        <is>
          <t>Original Inventory</t>
        </is>
      </c>
      <c r="E22" s="41">
        <f>SUM(J5:J22)</f>
        <v/>
      </c>
      <c r="F22" s="42" t="inlineStr">
        <is>
          <t>Variance</t>
        </is>
      </c>
      <c r="G22" s="41">
        <f>SUM(K5:K22)</f>
        <v/>
      </c>
      <c r="H22" s="42" t="inlineStr">
        <is>
          <t>Sold Today</t>
        </is>
      </c>
      <c r="I22" s="41">
        <f>SUM(N5:N22)</f>
        <v/>
      </c>
      <c r="J22" s="42" t="inlineStr">
        <is>
          <t>Low Stock SKUs</t>
        </is>
      </c>
      <c r="K22" s="43">
        <f>COUNTIF(O5:O22,"LOW")</f>
        <v/>
      </c>
      <c r="L22" s="42" t="inlineStr">
        <is>
          <t>Refill Needed</t>
        </is>
      </c>
      <c r="M22" s="41">
        <f>SUM(P5:P22)</f>
        <v/>
      </c>
      <c r="N22" s="44" t="n"/>
      <c r="O22" s="44" t="n"/>
      <c r="P22" s="44" t="n"/>
      <c r="Q22" s="25" t="n"/>
    </row>
    <row r="23" ht="15.75" customHeight="1" s="45"/>
    <row r="24" ht="15.75" customHeight="1" s="45"/>
    <row r="25" ht="15.75" customHeight="1" s="45"/>
    <row r="26" ht="15.75" customHeight="1" s="45"/>
    <row r="27" ht="15.75" customHeight="1" s="45"/>
    <row r="28" ht="15.75" customHeight="1" s="45"/>
    <row r="29" ht="15.75" customHeight="1" s="45"/>
    <row r="30" ht="15.75" customHeight="1" s="45"/>
    <row r="31" ht="15.75" customHeight="1" s="45"/>
    <row r="32" ht="15.75" customHeight="1" s="45"/>
    <row r="33" ht="15.75" customHeight="1" s="45"/>
    <row r="34" ht="15.75" customHeight="1" s="45"/>
    <row r="35" ht="15.75" customHeight="1" s="45"/>
    <row r="36" ht="15.75" customHeight="1" s="45"/>
    <row r="37" ht="15.75" customHeight="1" s="45"/>
    <row r="38" ht="15.75" customHeight="1" s="45"/>
    <row r="39" ht="15.75" customHeight="1" s="45"/>
    <row r="40" ht="15.75" customHeight="1" s="45"/>
    <row r="41" ht="15.75" customHeight="1" s="45"/>
    <row r="42" ht="15.75" customHeight="1" s="45"/>
    <row r="43" ht="15.75" customHeight="1" s="45"/>
    <row r="44" ht="15.75" customHeight="1" s="45"/>
    <row r="45" ht="15.75" customHeight="1" s="45"/>
    <row r="46" ht="15.75" customHeight="1" s="45"/>
    <row r="47" ht="15.75" customHeight="1" s="45"/>
    <row r="48" ht="15.75" customHeight="1" s="45"/>
    <row r="49" ht="15.75" customHeight="1" s="45"/>
    <row r="50" ht="15.75" customHeight="1" s="45"/>
    <row r="51" ht="15.75" customHeight="1" s="45"/>
    <row r="52" ht="15.75" customHeight="1" s="45"/>
    <row r="53" ht="15.75" customHeight="1" s="45"/>
    <row r="54" ht="15.75" customHeight="1" s="45"/>
    <row r="55" ht="15.75" customHeight="1" s="45"/>
    <row r="56" ht="15.75" customHeight="1" s="45"/>
    <row r="57" ht="15.75" customHeight="1" s="45"/>
    <row r="58" ht="15.75" customHeight="1" s="45"/>
    <row r="59" ht="15.75" customHeight="1" s="45"/>
    <row r="60" ht="15.75" customHeight="1" s="45"/>
    <row r="61" ht="15.75" customHeight="1" s="45"/>
    <row r="62" ht="15.75" customHeight="1" s="45"/>
    <row r="63" ht="15.75" customHeight="1" s="45"/>
    <row r="64" ht="15.75" customHeight="1" s="45"/>
    <row r="65" ht="15.75" customHeight="1" s="45"/>
    <row r="66" ht="15.75" customHeight="1" s="45"/>
    <row r="67" ht="15.75" customHeight="1" s="45"/>
    <row r="68" ht="15.75" customHeight="1" s="45"/>
    <row r="69" ht="15.75" customHeight="1" s="45"/>
    <row r="70" ht="15.75" customHeight="1" s="45"/>
    <row r="71" ht="15.75" customHeight="1" s="45"/>
    <row r="72" ht="15.75" customHeight="1" s="45"/>
    <row r="73" ht="15.75" customHeight="1" s="45"/>
    <row r="74" ht="15.75" customHeight="1" s="45"/>
    <row r="75" ht="15.75" customHeight="1" s="45"/>
    <row r="76" ht="15.75" customHeight="1" s="45"/>
    <row r="77" ht="15.75" customHeight="1" s="45"/>
    <row r="78" ht="15.75" customHeight="1" s="45"/>
    <row r="79" ht="15.75" customHeight="1" s="45"/>
    <row r="80" ht="15.75" customHeight="1" s="45"/>
    <row r="81" ht="15.75" customHeight="1" s="45"/>
    <row r="82" ht="15.75" customHeight="1" s="45"/>
    <row r="83" ht="15.75" customHeight="1" s="45"/>
    <row r="84" ht="15.75" customHeight="1" s="45"/>
    <row r="85" ht="15.75" customHeight="1" s="45"/>
    <row r="86" ht="15.75" customHeight="1" s="45"/>
    <row r="87" ht="15.75" customHeight="1" s="45"/>
    <row r="88" ht="15.75" customHeight="1" s="45"/>
    <row r="89" ht="15.75" customHeight="1" s="45"/>
    <row r="90" ht="15.75" customHeight="1" s="45"/>
    <row r="91" ht="15.75" customHeight="1" s="45"/>
    <row r="92" ht="15.75" customHeight="1" s="45"/>
    <row r="93" ht="15.75" customHeight="1" s="45"/>
    <row r="94" ht="15.75" customHeight="1" s="45"/>
    <row r="95" ht="15.75" customHeight="1" s="45"/>
    <row r="96" ht="15.75" customHeight="1" s="45"/>
    <row r="97" ht="15.75" customHeight="1" s="45"/>
    <row r="98" ht="15.75" customHeight="1" s="45"/>
    <row r="99" ht="15.75" customHeight="1" s="45"/>
    <row r="100" ht="15.75" customHeight="1" s="45"/>
    <row r="101" ht="15.75" customHeight="1" s="45"/>
    <row r="102" ht="15.75" customHeight="1" s="45"/>
    <row r="103" ht="15.75" customHeight="1" s="45"/>
    <row r="104" ht="15.75" customHeight="1" s="45"/>
    <row r="105" ht="15.75" customHeight="1" s="45"/>
    <row r="106" ht="15.75" customHeight="1" s="45"/>
    <row r="107" ht="15.75" customHeight="1" s="45"/>
    <row r="108" ht="15.75" customHeight="1" s="45"/>
    <row r="109" ht="15.75" customHeight="1" s="45"/>
    <row r="110" ht="15.75" customHeight="1" s="45"/>
    <row r="111" ht="15.75" customHeight="1" s="45"/>
    <row r="112" ht="15.75" customHeight="1" s="45"/>
    <row r="113" ht="15.75" customHeight="1" s="45"/>
    <row r="114" ht="15.75" customHeight="1" s="45"/>
    <row r="115" ht="15.75" customHeight="1" s="45"/>
    <row r="116" ht="15.75" customHeight="1" s="45"/>
    <row r="117" ht="15.75" customHeight="1" s="45"/>
    <row r="118" ht="15.75" customHeight="1" s="45"/>
    <row r="119" ht="15.75" customHeight="1" s="45"/>
    <row r="120" ht="15.75" customHeight="1" s="45"/>
    <row r="121" ht="15.75" customHeight="1" s="45"/>
    <row r="122" ht="15.75" customHeight="1" s="45"/>
    <row r="123" ht="15.75" customHeight="1" s="45"/>
    <row r="124" ht="15.75" customHeight="1" s="45"/>
    <row r="125" ht="15.75" customHeight="1" s="45"/>
    <row r="126" ht="15.75" customHeight="1" s="45"/>
    <row r="127" ht="15.75" customHeight="1" s="45"/>
    <row r="128" ht="15.75" customHeight="1" s="45"/>
    <row r="129" ht="15.75" customHeight="1" s="45"/>
    <row r="130" ht="15.75" customHeight="1" s="45"/>
    <row r="131" ht="15.75" customHeight="1" s="45"/>
    <row r="132" ht="15.75" customHeight="1" s="45"/>
    <row r="133" ht="15.75" customHeight="1" s="45"/>
    <row r="134" ht="15.75" customHeight="1" s="45"/>
    <row r="135" ht="15.75" customHeight="1" s="45"/>
    <row r="136" ht="15.75" customHeight="1" s="45"/>
    <row r="137" ht="15.75" customHeight="1" s="45"/>
    <row r="138" ht="15.75" customHeight="1" s="45"/>
    <row r="139" ht="15.75" customHeight="1" s="45"/>
    <row r="140" ht="15.75" customHeight="1" s="45"/>
    <row r="141" ht="15.75" customHeight="1" s="45"/>
    <row r="142" ht="15.75" customHeight="1" s="45"/>
    <row r="143" ht="15.75" customHeight="1" s="45"/>
    <row r="144" ht="15.75" customHeight="1" s="45"/>
    <row r="145" ht="15.75" customHeight="1" s="45"/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2">
    <mergeCell ref="A2:Q2"/>
    <mergeCell ref="A1:Q1"/>
  </mergeCells>
  <conditionalFormatting sqref="O5:O20">
    <cfRule type="expression" priority="1" dxfId="4">
      <formula>$O5="LOW"</formula>
    </cfRule>
  </conditionalFormatting>
  <conditionalFormatting sqref="K5:K20">
    <cfRule type="cellIs" priority="2" operator="lessThan" dxfId="5">
      <formula>0</formula>
    </cfRule>
  </conditionalFormatting>
  <conditionalFormatting sqref="N5:N20">
    <cfRule type="cellIs" priority="3" operator="greaterThan" dxfId="6">
      <formula>0</formula>
    </cfRule>
  </conditionalFormatting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R19"/>
  <sheetViews>
    <sheetView showGridLines="0" workbookViewId="0">
      <selection activeCell="A1" sqref="A1"/>
    </sheetView>
  </sheetViews>
  <sheetFormatPr baseColWidth="8" defaultColWidth="14.43" defaultRowHeight="15" customHeight="1"/>
  <cols>
    <col width="12" customWidth="1" style="45" min="1" max="1"/>
    <col width="22" customWidth="1" style="45" min="2" max="2"/>
    <col width="20" customWidth="1" style="45" min="3" max="3"/>
    <col width="16" customWidth="1" style="45" min="4" max="4"/>
    <col width="10" customWidth="1" style="45" min="5" max="7"/>
    <col width="12" customWidth="1" style="45" min="8" max="9"/>
    <col width="14" customWidth="1" style="45" min="10" max="11"/>
    <col width="11" customWidth="1" style="45" min="12" max="14"/>
    <col width="10" customWidth="1" style="45" min="15" max="15"/>
    <col width="12" customWidth="1" style="45" min="16" max="16"/>
    <col width="18" customWidth="1" style="45" min="17" max="17"/>
    <col width="8.710000000000001" customWidth="1" style="45" min="18" max="26"/>
  </cols>
  <sheetData>
    <row r="1">
      <c r="A1" s="46" t="inlineStr">
        <is>
          <t>BEBEMONS Inventory</t>
        </is>
      </c>
    </row>
    <row r="2">
      <c r="A2" s="49" t="inlineStr">
        <is>
          <t>Update blue cells only. Everything else updates automatically.</t>
        </is>
      </c>
    </row>
    <row r="3">
      <c r="A3" s="25" t="n"/>
      <c r="B3" s="25" t="n"/>
      <c r="C3" s="25" t="n"/>
      <c r="D3" s="25" t="n"/>
      <c r="E3" s="44" t="n"/>
      <c r="F3" s="44" t="n"/>
      <c r="G3" s="44" t="n"/>
      <c r="H3" s="44" t="n"/>
      <c r="I3" s="44" t="n"/>
      <c r="J3" s="44" t="n"/>
      <c r="K3" s="44" t="n"/>
      <c r="L3" s="44" t="n"/>
      <c r="M3" s="44" t="n"/>
      <c r="N3" s="44" t="n"/>
      <c r="O3" s="44" t="n"/>
      <c r="P3" s="44" t="n"/>
      <c r="Q3" s="25" t="n"/>
    </row>
    <row r="4">
      <c r="A4" s="22" t="inlineStr">
        <is>
          <t>SKU</t>
        </is>
      </c>
      <c r="B4" s="22" t="inlineStr">
        <is>
          <t>Item</t>
        </is>
      </c>
      <c r="C4" s="22" t="inlineStr">
        <is>
          <t>Color / Variant</t>
        </is>
      </c>
      <c r="D4" s="22" t="inlineStr">
        <is>
          <t>Tag</t>
        </is>
      </c>
      <c r="E4" s="24" t="inlineStr">
        <is>
          <t>Display A</t>
        </is>
      </c>
      <c r="F4" s="24" t="inlineStr">
        <is>
          <t>Display B</t>
        </is>
      </c>
      <c r="G4" s="24" t="inlineStr">
        <is>
          <t>Display C</t>
        </is>
      </c>
      <c r="H4" s="24" t="inlineStr">
        <is>
          <t>Back Stock</t>
        </is>
      </c>
      <c r="I4" s="24" t="inlineStr">
        <is>
          <t>Total Counted</t>
        </is>
      </c>
      <c r="J4" s="24" t="inlineStr">
        <is>
          <t>Original Inventory</t>
        </is>
      </c>
      <c r="K4" s="24" t="inlineStr">
        <is>
          <t>Variance vs Original</t>
        </is>
      </c>
      <c r="L4" s="24" t="inlineStr">
        <is>
          <t>Day Start</t>
        </is>
      </c>
      <c r="M4" s="24" t="inlineStr">
        <is>
          <t>Day End</t>
        </is>
      </c>
      <c r="N4" s="24" t="inlineStr">
        <is>
          <t>Sold Today</t>
        </is>
      </c>
      <c r="O4" s="24" t="inlineStr">
        <is>
          <t>Low Stock</t>
        </is>
      </c>
      <c r="P4" s="24" t="inlineStr">
        <is>
          <t>Refill Needed</t>
        </is>
      </c>
      <c r="Q4" s="22" t="inlineStr">
        <is>
          <t>Notes</t>
        </is>
      </c>
      <c r="R4" s="0" t="inlineStr">
        <is>
          <t>IP</t>
        </is>
      </c>
    </row>
    <row r="5">
      <c r="A5" s="25" t="inlineStr">
        <is>
          <t>BEBE-001</t>
        </is>
      </c>
      <c r="B5" s="25" t="inlineStr">
        <is>
          <t>Pokeball</t>
        </is>
      </c>
      <c r="C5" s="25" t="inlineStr"/>
      <c r="D5" s="25" t="inlineStr">
        <is>
          <t>Steady Pick</t>
        </is>
      </c>
      <c r="E5" s="34" t="n">
        <v>2</v>
      </c>
      <c r="F5" s="34" t="n">
        <v>2</v>
      </c>
      <c r="G5" s="34" t="n">
        <v>2</v>
      </c>
      <c r="H5" s="34" t="n">
        <v>0</v>
      </c>
      <c r="I5" s="41">
        <f>SUM(E5:H5)</f>
        <v/>
      </c>
      <c r="J5" s="36" t="n">
        <v>15</v>
      </c>
      <c r="K5" s="41">
        <f>IF(OR(I5="",J5=""),"",I5-J5)</f>
        <v/>
      </c>
      <c r="L5" s="34" t="inlineStr"/>
      <c r="M5" s="34" t="inlineStr"/>
      <c r="N5" s="41">
        <f>IF(AND(L5&lt;&gt;"",M5&lt;&gt;""),L5-M5,"")</f>
        <v/>
      </c>
      <c r="O5" s="41">
        <f>IF(I5&lt;=SETTINGS!$B$3,"LOW","OK")</f>
        <v/>
      </c>
      <c r="P5" s="41">
        <f>MAX(0,SETTINGS!$B$4-E5)+MAX(0,SETTINGS!$B$4-F5)+MAX(0,SETTINGS!$B$4-G5)</f>
        <v/>
      </c>
      <c r="Q5" s="37" t="inlineStr"/>
      <c r="R5" s="0" t="inlineStr">
        <is>
          <t>Pokemon</t>
        </is>
      </c>
    </row>
    <row r="6">
      <c r="A6" s="25" t="inlineStr">
        <is>
          <t>BEBE-002</t>
        </is>
      </c>
      <c r="B6" s="25" t="inlineStr">
        <is>
          <t>Master Ball</t>
        </is>
      </c>
      <c r="C6" s="25" t="inlineStr"/>
      <c r="D6" s="25" t="inlineStr">
        <is>
          <t>Steady Pick</t>
        </is>
      </c>
      <c r="E6" s="34" t="n">
        <v>2</v>
      </c>
      <c r="F6" s="34" t="n">
        <v>2</v>
      </c>
      <c r="G6" s="34" t="n">
        <v>2</v>
      </c>
      <c r="H6" s="34" t="n">
        <v>0</v>
      </c>
      <c r="I6" s="41">
        <f>SUM(E6:H6)</f>
        <v/>
      </c>
      <c r="J6" s="36" t="n">
        <v>17</v>
      </c>
      <c r="K6" s="41">
        <f>IF(OR(I6="",J6=""),"",I6-J6)</f>
        <v/>
      </c>
      <c r="L6" s="34" t="inlineStr"/>
      <c r="M6" s="34" t="inlineStr"/>
      <c r="N6" s="41">
        <f>IF(AND(L6&lt;&gt;"",M6&lt;&gt;""),L6-M6,"")</f>
        <v/>
      </c>
      <c r="O6" s="41">
        <f>IF(I6&lt;=SETTINGS!$B$3,"LOW","OK")</f>
        <v/>
      </c>
      <c r="P6" s="41">
        <f>MAX(0,SETTINGS!$B$4-E6)+MAX(0,SETTINGS!$B$4-F6)+MAX(0,SETTINGS!$B$4-G6)</f>
        <v/>
      </c>
      <c r="Q6" s="37" t="inlineStr"/>
      <c r="R6" s="0" t="inlineStr">
        <is>
          <t>Pokemon</t>
        </is>
      </c>
    </row>
    <row r="7">
      <c r="A7" s="25" t="inlineStr">
        <is>
          <t>BEBE-003</t>
        </is>
      </c>
      <c r="B7" s="25" t="inlineStr">
        <is>
          <t>Great Ball</t>
        </is>
      </c>
      <c r="C7" s="25" t="inlineStr"/>
      <c r="D7" s="25" t="inlineStr">
        <is>
          <t>Steady Pick</t>
        </is>
      </c>
      <c r="E7" s="34" t="n">
        <v>2</v>
      </c>
      <c r="F7" s="34" t="n">
        <v>2</v>
      </c>
      <c r="G7" s="34" t="n">
        <v>2</v>
      </c>
      <c r="H7" s="34" t="n">
        <v>0</v>
      </c>
      <c r="I7" s="41">
        <f>SUM(E7:H7)</f>
        <v/>
      </c>
      <c r="J7" s="36" t="n">
        <v>26</v>
      </c>
      <c r="K7" s="41">
        <f>IF(OR(I7="",J7=""),"",I7-J7)</f>
        <v/>
      </c>
      <c r="L7" s="34" t="inlineStr"/>
      <c r="M7" s="34" t="inlineStr"/>
      <c r="N7" s="41">
        <f>IF(AND(L7&lt;&gt;"",M7&lt;&gt;""),L7-M7,"")</f>
        <v/>
      </c>
      <c r="O7" s="41">
        <f>IF(I7&lt;=SETTINGS!$B$3,"LOW","OK")</f>
        <v/>
      </c>
      <c r="P7" s="41">
        <f>MAX(0,SETTINGS!$B$4-E7)+MAX(0,SETTINGS!$B$4-F7)+MAX(0,SETTINGS!$B$4-G7)</f>
        <v/>
      </c>
      <c r="Q7" s="37" t="inlineStr"/>
      <c r="R7" s="0" t="inlineStr">
        <is>
          <t>Pokemon</t>
        </is>
      </c>
    </row>
    <row r="8">
      <c r="A8" s="25" t="inlineStr">
        <is>
          <t>BEBE-004</t>
        </is>
      </c>
      <c r="B8" s="25" t="inlineStr">
        <is>
          <t>Ultra Ball</t>
        </is>
      </c>
      <c r="C8" s="25" t="inlineStr"/>
      <c r="D8" s="25" t="inlineStr">
        <is>
          <t>Steady Pick</t>
        </is>
      </c>
      <c r="E8" s="34" t="n">
        <v>2</v>
      </c>
      <c r="F8" s="34" t="n">
        <v>2</v>
      </c>
      <c r="G8" s="34" t="n">
        <v>2</v>
      </c>
      <c r="H8" s="34" t="n">
        <v>0</v>
      </c>
      <c r="I8" s="41">
        <f>SUM(E8:H8)</f>
        <v/>
      </c>
      <c r="J8" s="36" t="n">
        <v>20</v>
      </c>
      <c r="K8" s="41">
        <f>IF(OR(I8="",J8=""),"",I8-J8)</f>
        <v/>
      </c>
      <c r="L8" s="34" t="inlineStr"/>
      <c r="M8" s="34" t="inlineStr"/>
      <c r="N8" s="41">
        <f>IF(AND(L8&lt;&gt;"",M8&lt;&gt;""),L8-M8,"")</f>
        <v/>
      </c>
      <c r="O8" s="41">
        <f>IF(I8&lt;=SETTINGS!$B$3,"LOW","OK")</f>
        <v/>
      </c>
      <c r="P8" s="41">
        <f>MAX(0,SETTINGS!$B$4-E8)+MAX(0,SETTINGS!$B$4-F8)+MAX(0,SETTINGS!$B$4-G8)</f>
        <v/>
      </c>
      <c r="Q8" s="37" t="inlineStr"/>
      <c r="R8" s="0" t="inlineStr">
        <is>
          <t>Pokemon</t>
        </is>
      </c>
    </row>
    <row r="9">
      <c r="A9" s="25" t="inlineStr">
        <is>
          <t>BEBE-005</t>
        </is>
      </c>
      <c r="B9" s="25" t="inlineStr">
        <is>
          <t>Love Ball</t>
        </is>
      </c>
      <c r="C9" s="25" t="inlineStr"/>
      <c r="D9" s="25" t="inlineStr">
        <is>
          <t>Steady Pick</t>
        </is>
      </c>
      <c r="E9" s="34" t="n">
        <v>2</v>
      </c>
      <c r="F9" s="34" t="n">
        <v>2</v>
      </c>
      <c r="G9" s="34" t="n">
        <v>2</v>
      </c>
      <c r="H9" s="34" t="n">
        <v>0</v>
      </c>
      <c r="I9" s="41">
        <f>SUM(E9:H9)</f>
        <v/>
      </c>
      <c r="J9" s="36" t="n">
        <v>26</v>
      </c>
      <c r="K9" s="41">
        <f>IF(OR(I9="",J9=""),"",I9-J9)</f>
        <v/>
      </c>
      <c r="L9" s="34" t="inlineStr"/>
      <c r="M9" s="34" t="inlineStr"/>
      <c r="N9" s="41">
        <f>IF(AND(L9&lt;&gt;"",M9&lt;&gt;""),L9-M9,"")</f>
        <v/>
      </c>
      <c r="O9" s="41">
        <f>IF(I9&lt;=SETTINGS!$B$3,"LOW","OK")</f>
        <v/>
      </c>
      <c r="P9" s="41">
        <f>MAX(0,SETTINGS!$B$4-E9)+MAX(0,SETTINGS!$B$4-F9)+MAX(0,SETTINGS!$B$4-G9)</f>
        <v/>
      </c>
      <c r="Q9" s="37" t="inlineStr"/>
      <c r="R9" s="0" t="inlineStr">
        <is>
          <t>Pokemon</t>
        </is>
      </c>
    </row>
    <row r="10">
      <c r="A10" s="25" t="inlineStr">
        <is>
          <t>BEBE-006</t>
        </is>
      </c>
      <c r="B10" s="25" t="inlineStr">
        <is>
          <t>Team Rocket</t>
        </is>
      </c>
      <c r="C10" s="25" t="inlineStr"/>
      <c r="D10" s="25" t="inlineStr">
        <is>
          <t>Hidden Gem</t>
        </is>
      </c>
      <c r="E10" s="34" t="n">
        <v>2</v>
      </c>
      <c r="F10" s="34" t="n">
        <v>2</v>
      </c>
      <c r="G10" s="34" t="n">
        <v>2</v>
      </c>
      <c r="H10" s="34" t="n">
        <v>0</v>
      </c>
      <c r="I10" s="41">
        <f>SUM(E10:H10)</f>
        <v/>
      </c>
      <c r="J10" s="36" t="n">
        <v>13</v>
      </c>
      <c r="K10" s="41">
        <f>IF(OR(I10="",J10=""),"",I10-J10)</f>
        <v/>
      </c>
      <c r="L10" s="34" t="inlineStr"/>
      <c r="M10" s="34" t="inlineStr"/>
      <c r="N10" s="41">
        <f>IF(AND(L10&lt;&gt;"",M10&lt;&gt;""),L10-M10,"")</f>
        <v/>
      </c>
      <c r="O10" s="41">
        <f>IF(I10&lt;=SETTINGS!$B$3,"LOW","OK")</f>
        <v/>
      </c>
      <c r="P10" s="41">
        <f>MAX(0,SETTINGS!$B$4-E10)+MAX(0,SETTINGS!$B$4-F10)+MAX(0,SETTINGS!$B$4-G10)</f>
        <v/>
      </c>
      <c r="Q10" s="37" t="inlineStr"/>
      <c r="R10" s="0" t="inlineStr">
        <is>
          <t>Pokemon</t>
        </is>
      </c>
    </row>
    <row r="11">
      <c r="A11" s="25" t="inlineStr">
        <is>
          <t>BEBE-007</t>
        </is>
      </c>
      <c r="B11" s="25" t="inlineStr">
        <is>
          <t>Pikachu</t>
        </is>
      </c>
      <c r="C11" s="25" t="inlineStr"/>
      <c r="D11" s="25" t="inlineStr">
        <is>
          <t>Steady Pick</t>
        </is>
      </c>
      <c r="E11" s="34" t="n">
        <v>2</v>
      </c>
      <c r="F11" s="34" t="n">
        <v>2</v>
      </c>
      <c r="G11" s="34" t="n">
        <v>2</v>
      </c>
      <c r="H11" s="34" t="n">
        <v>0</v>
      </c>
      <c r="I11" s="41">
        <f>SUM(E11:H11)</f>
        <v/>
      </c>
      <c r="J11" s="36" t="n">
        <v>15</v>
      </c>
      <c r="K11" s="41">
        <f>IF(OR(I11="",J11=""),"",I11-J11)</f>
        <v/>
      </c>
      <c r="L11" s="34" t="inlineStr"/>
      <c r="M11" s="34" t="inlineStr"/>
      <c r="N11" s="41">
        <f>IF(AND(L11&lt;&gt;"",M11&lt;&gt;""),L11-M11,"")</f>
        <v/>
      </c>
      <c r="O11" s="41">
        <f>IF(I11&lt;=SETTINGS!$B$3,"LOW","OK")</f>
        <v/>
      </c>
      <c r="P11" s="41">
        <f>MAX(0,SETTINGS!$B$4-E11)+MAX(0,SETTINGS!$B$4-F11)+MAX(0,SETTINGS!$B$4-G11)</f>
        <v/>
      </c>
      <c r="Q11" s="37" t="inlineStr"/>
      <c r="R11" s="0" t="inlineStr">
        <is>
          <t>Pokemon</t>
        </is>
      </c>
    </row>
    <row r="12">
      <c r="A12" s="25" t="inlineStr">
        <is>
          <t>BEBE-008</t>
        </is>
      </c>
      <c r="B12" s="25" t="inlineStr">
        <is>
          <t>Eevee</t>
        </is>
      </c>
      <c r="C12" s="25" t="inlineStr"/>
      <c r="D12" s="25" t="inlineStr">
        <is>
          <t>Steady Pick</t>
        </is>
      </c>
      <c r="E12" s="34" t="n">
        <v>2</v>
      </c>
      <c r="F12" s="34" t="n">
        <v>2</v>
      </c>
      <c r="G12" s="34" t="n">
        <v>2</v>
      </c>
      <c r="H12" s="34" t="n">
        <v>0</v>
      </c>
      <c r="I12" s="41">
        <f>SUM(E12:H12)</f>
        <v/>
      </c>
      <c r="J12" s="36" t="n">
        <v>10</v>
      </c>
      <c r="K12" s="41">
        <f>IF(OR(I12="",J12=""),"",I12-J12)</f>
        <v/>
      </c>
      <c r="L12" s="34" t="inlineStr"/>
      <c r="M12" s="34" t="inlineStr"/>
      <c r="N12" s="41">
        <f>IF(AND(L12&lt;&gt;"",M12&lt;&gt;""),L12-M12,"")</f>
        <v/>
      </c>
      <c r="O12" s="41">
        <f>IF(I12&lt;=SETTINGS!$B$3,"LOW","OK")</f>
        <v/>
      </c>
      <c r="P12" s="41">
        <f>MAX(0,SETTINGS!$B$4-E12)+MAX(0,SETTINGS!$B$4-F12)+MAX(0,SETTINGS!$B$4-G12)</f>
        <v/>
      </c>
      <c r="Q12" s="37" t="inlineStr"/>
      <c r="R12" s="0" t="inlineStr">
        <is>
          <t>Pokemon</t>
        </is>
      </c>
    </row>
    <row r="13">
      <c r="A13" s="25" t="inlineStr">
        <is>
          <t>BEBE-009</t>
        </is>
      </c>
      <c r="B13" s="25" t="inlineStr">
        <is>
          <t>Charmander</t>
        </is>
      </c>
      <c r="C13" s="25" t="inlineStr"/>
      <c r="D13" s="25" t="inlineStr">
        <is>
          <t>Steady Pick</t>
        </is>
      </c>
      <c r="E13" s="34" t="n">
        <v>2</v>
      </c>
      <c r="F13" s="34" t="n">
        <v>2</v>
      </c>
      <c r="G13" s="34" t="n">
        <v>2</v>
      </c>
      <c r="H13" s="34" t="n">
        <v>0</v>
      </c>
      <c r="I13" s="41">
        <f>SUM(E13:H13)</f>
        <v/>
      </c>
      <c r="J13" s="36" t="n">
        <v>17</v>
      </c>
      <c r="K13" s="41">
        <f>IF(OR(I13="",J13=""),"",I13-J13)</f>
        <v/>
      </c>
      <c r="L13" s="34" t="inlineStr"/>
      <c r="M13" s="34" t="inlineStr"/>
      <c r="N13" s="41">
        <f>IF(AND(L13&lt;&gt;"",M13&lt;&gt;""),L13-M13,"")</f>
        <v/>
      </c>
      <c r="O13" s="41">
        <f>IF(I13&lt;=SETTINGS!$B$3,"LOW","OK")</f>
        <v/>
      </c>
      <c r="P13" s="41">
        <f>MAX(0,SETTINGS!$B$4-E13)+MAX(0,SETTINGS!$B$4-F13)+MAX(0,SETTINGS!$B$4-G13)</f>
        <v/>
      </c>
      <c r="Q13" s="37" t="inlineStr"/>
      <c r="R13" s="0" t="inlineStr">
        <is>
          <t>Pokemon</t>
        </is>
      </c>
    </row>
    <row r="14">
      <c r="A14" s="25" t="inlineStr">
        <is>
          <t>BEBE-010</t>
        </is>
      </c>
      <c r="B14" s="25" t="inlineStr">
        <is>
          <t>Bulbasaur</t>
        </is>
      </c>
      <c r="C14" s="25" t="inlineStr"/>
      <c r="D14" s="25" t="inlineStr">
        <is>
          <t>Steady Pick</t>
        </is>
      </c>
      <c r="E14" s="34" t="n">
        <v>2</v>
      </c>
      <c r="F14" s="34" t="n">
        <v>2</v>
      </c>
      <c r="G14" s="34" t="n">
        <v>2</v>
      </c>
      <c r="H14" s="34" t="n">
        <v>0</v>
      </c>
      <c r="I14" s="41">
        <f>SUM(E14:H14)</f>
        <v/>
      </c>
      <c r="J14" s="36" t="n">
        <v>18</v>
      </c>
      <c r="K14" s="41">
        <f>IF(OR(I14="",J14=""),"",I14-J14)</f>
        <v/>
      </c>
      <c r="L14" s="34" t="inlineStr"/>
      <c r="M14" s="34" t="inlineStr"/>
      <c r="N14" s="41">
        <f>IF(AND(L14&lt;&gt;"",M14&lt;&gt;""),L14-M14,"")</f>
        <v/>
      </c>
      <c r="O14" s="41">
        <f>IF(I14&lt;=SETTINGS!$B$3,"LOW","OK")</f>
        <v/>
      </c>
      <c r="P14" s="41">
        <f>MAX(0,SETTINGS!$B$4-E14)+MAX(0,SETTINGS!$B$4-F14)+MAX(0,SETTINGS!$B$4-G14)</f>
        <v/>
      </c>
      <c r="Q14" s="37" t="inlineStr"/>
      <c r="R14" s="0" t="inlineStr">
        <is>
          <t>Pokemon</t>
        </is>
      </c>
    </row>
    <row r="15">
      <c r="A15" s="25" t="inlineStr">
        <is>
          <t>BEBE-011</t>
        </is>
      </c>
      <c r="B15" s="25" t="inlineStr">
        <is>
          <t>Squirtle</t>
        </is>
      </c>
      <c r="C15" s="25" t="inlineStr"/>
      <c r="D15" s="25" t="inlineStr">
        <is>
          <t>Steady Pick</t>
        </is>
      </c>
      <c r="E15" s="34" t="n">
        <v>2</v>
      </c>
      <c r="F15" s="34" t="n">
        <v>2</v>
      </c>
      <c r="G15" s="34" t="n">
        <v>2</v>
      </c>
      <c r="H15" s="34" t="n">
        <v>0</v>
      </c>
      <c r="I15" s="41">
        <f>SUM(E15:H15)</f>
        <v/>
      </c>
      <c r="J15" s="36" t="n">
        <v>18</v>
      </c>
      <c r="K15" s="41">
        <f>IF(OR(I15="",J15=""),"",I15-J15)</f>
        <v/>
      </c>
      <c r="L15" s="34" t="inlineStr"/>
      <c r="M15" s="34" t="inlineStr"/>
      <c r="N15" s="41">
        <f>IF(AND(L15&lt;&gt;"",M15&lt;&gt;""),L15-M15,"")</f>
        <v/>
      </c>
      <c r="O15" s="41">
        <f>IF(I15&lt;=SETTINGS!$B$3,"LOW","OK")</f>
        <v/>
      </c>
      <c r="P15" s="41">
        <f>MAX(0,SETTINGS!$B$4-E15)+MAX(0,SETTINGS!$B$4-F15)+MAX(0,SETTINGS!$B$4-G15)</f>
        <v/>
      </c>
      <c r="Q15" s="37" t="inlineStr"/>
      <c r="R15" s="0" t="inlineStr">
        <is>
          <t>Pokemon</t>
        </is>
      </c>
    </row>
    <row r="16">
      <c r="A16" s="25" t="inlineStr">
        <is>
          <t>BEBE-012</t>
        </is>
      </c>
      <c r="B16" s="25" t="inlineStr">
        <is>
          <t>Gengar</t>
        </is>
      </c>
      <c r="C16" s="25" t="inlineStr"/>
      <c r="D16" s="25" t="inlineStr">
        <is>
          <t>Best Seller</t>
        </is>
      </c>
      <c r="E16" s="34" t="n">
        <v>2</v>
      </c>
      <c r="F16" s="34" t="n">
        <v>2</v>
      </c>
      <c r="G16" s="34" t="n">
        <v>2</v>
      </c>
      <c r="H16" s="34" t="n">
        <v>0</v>
      </c>
      <c r="I16" s="41">
        <f>SUM(E16:H16)</f>
        <v/>
      </c>
      <c r="J16" s="36" t="n">
        <v>15</v>
      </c>
      <c r="K16" s="41">
        <f>IF(OR(I16="",J16=""),"",I16-J16)</f>
        <v/>
      </c>
      <c r="L16" s="34" t="inlineStr"/>
      <c r="M16" s="34" t="inlineStr"/>
      <c r="N16" s="41">
        <f>IF(AND(L16&lt;&gt;"",M16&lt;&gt;""),L16-M16,"")</f>
        <v/>
      </c>
      <c r="O16" s="41">
        <f>IF(I16&lt;=SETTINGS!$B$3,"LOW","OK")</f>
        <v/>
      </c>
      <c r="P16" s="41">
        <f>MAX(0,SETTINGS!$B$4-E16)+MAX(0,SETTINGS!$B$4-F16)+MAX(0,SETTINGS!$B$4-G16)</f>
        <v/>
      </c>
      <c r="Q16" s="37" t="inlineStr"/>
      <c r="R16" s="0" t="inlineStr">
        <is>
          <t>Pokemon</t>
        </is>
      </c>
    </row>
    <row r="17">
      <c r="A17" s="25" t="inlineStr">
        <is>
          <t>BEBE-013</t>
        </is>
      </c>
      <c r="B17" s="25" t="inlineStr">
        <is>
          <t>Premiere Ball</t>
        </is>
      </c>
      <c r="C17" s="25" t="inlineStr"/>
      <c r="D17" s="25" t="inlineStr">
        <is>
          <t>Hidden Gem</t>
        </is>
      </c>
      <c r="E17" s="34" t="n">
        <v>1</v>
      </c>
      <c r="F17" s="34" t="n">
        <v>0</v>
      </c>
      <c r="G17" s="34" t="n">
        <v>0</v>
      </c>
      <c r="H17" s="34" t="n">
        <v>0</v>
      </c>
      <c r="I17" s="41">
        <f>SUM(E17:H17)</f>
        <v/>
      </c>
      <c r="J17" s="36" t="n">
        <v>1</v>
      </c>
      <c r="K17" s="41">
        <f>IF(OR(I17="",J17=""),"",I17-J17)</f>
        <v/>
      </c>
      <c r="L17" s="34" t="inlineStr"/>
      <c r="M17" s="34" t="inlineStr"/>
      <c r="N17" s="41">
        <f>IF(AND(L17&lt;&gt;"",M17&lt;&gt;""),L17-M17,"")</f>
        <v/>
      </c>
      <c r="O17" s="41">
        <f>IF(I17&lt;=SETTINGS!$B$3,"LOW","OK")</f>
        <v/>
      </c>
      <c r="P17" s="41">
        <f>MAX(0,SETTINGS!$B$4-E17)+MAX(0,SETTINGS!$B$4-F17)+MAX(0,SETTINGS!$B$4-G17)</f>
        <v/>
      </c>
      <c r="Q17" s="37" t="inlineStr"/>
      <c r="R17" s="0" t="inlineStr">
        <is>
          <t>Pokemon</t>
        </is>
      </c>
    </row>
    <row r="18">
      <c r="A18" s="25" t="n"/>
      <c r="B18" s="25" t="n"/>
      <c r="C18" s="25" t="n"/>
      <c r="D18" s="25" t="n"/>
      <c r="E18" s="44" t="n"/>
      <c r="F18" s="44" t="n"/>
      <c r="G18" s="44" t="n"/>
      <c r="H18" s="44" t="n"/>
      <c r="I18" s="44" t="n"/>
      <c r="J18" s="44" t="n"/>
      <c r="K18" s="44" t="n"/>
      <c r="L18" s="44" t="n"/>
      <c r="M18" s="44" t="n"/>
      <c r="N18" s="44" t="n"/>
      <c r="O18" s="44" t="n"/>
      <c r="P18" s="44" t="n"/>
      <c r="Q18" s="25" t="n"/>
    </row>
    <row r="19">
      <c r="A19" s="38" t="inlineStr">
        <is>
          <t>Category Totals</t>
        </is>
      </c>
      <c r="B19" s="39" t="inlineStr">
        <is>
          <t>Total Counted</t>
        </is>
      </c>
      <c r="C19" s="40">
        <f>SUM(I5:I19)</f>
        <v/>
      </c>
      <c r="D19" s="39" t="inlineStr">
        <is>
          <t>Original Inventory</t>
        </is>
      </c>
      <c r="E19" s="41">
        <f>SUM(J5:J19)</f>
        <v/>
      </c>
      <c r="F19" s="42" t="inlineStr">
        <is>
          <t>Variance</t>
        </is>
      </c>
      <c r="G19" s="41">
        <f>SUM(K5:K19)</f>
        <v/>
      </c>
      <c r="H19" s="42" t="inlineStr">
        <is>
          <t>Sold Today</t>
        </is>
      </c>
      <c r="I19" s="41">
        <f>SUM(N5:N19)</f>
        <v/>
      </c>
      <c r="J19" s="42" t="inlineStr">
        <is>
          <t>Low Stock SKUs</t>
        </is>
      </c>
      <c r="K19" s="43">
        <f>COUNTIF(O5:O19,"LOW")</f>
        <v/>
      </c>
      <c r="L19" s="42" t="inlineStr">
        <is>
          <t>Refill Needed</t>
        </is>
      </c>
      <c r="M19" s="41">
        <f>SUM(P5:P19)</f>
        <v/>
      </c>
      <c r="N19" s="44" t="n"/>
      <c r="O19" s="44" t="n"/>
      <c r="P19" s="44" t="n"/>
      <c r="Q19" s="25" t="n"/>
    </row>
    <row r="21" ht="15.75" customHeight="1" s="45"/>
    <row r="22" ht="15.75" customHeight="1" s="45"/>
    <row r="23" ht="15.75" customHeight="1" s="45"/>
    <row r="24" ht="15.75" customHeight="1" s="45"/>
    <row r="25" ht="15.75" customHeight="1" s="45"/>
    <row r="26" ht="15.75" customHeight="1" s="45"/>
    <row r="27" ht="15.75" customHeight="1" s="45"/>
    <row r="28" ht="15.75" customHeight="1" s="45"/>
    <row r="29" ht="15.75" customHeight="1" s="45"/>
    <row r="30" ht="15.75" customHeight="1" s="45"/>
    <row r="31" ht="15.75" customHeight="1" s="45"/>
    <row r="32" ht="15.75" customHeight="1" s="45"/>
    <row r="33" ht="15.75" customHeight="1" s="45"/>
    <row r="34" ht="15.75" customHeight="1" s="45"/>
    <row r="35" ht="15.75" customHeight="1" s="45"/>
    <row r="36" ht="15.75" customHeight="1" s="45"/>
    <row r="37" ht="15.75" customHeight="1" s="45"/>
    <row r="38" ht="15.75" customHeight="1" s="45"/>
    <row r="39" ht="15.75" customHeight="1" s="45"/>
    <row r="40" ht="15.75" customHeight="1" s="45"/>
    <row r="41" ht="15.75" customHeight="1" s="45"/>
    <row r="42" ht="15.75" customHeight="1" s="45"/>
    <row r="43" ht="15.75" customHeight="1" s="45"/>
    <row r="44" ht="15.75" customHeight="1" s="45"/>
    <row r="45" ht="15.75" customHeight="1" s="45"/>
    <row r="46" ht="15.75" customHeight="1" s="45"/>
    <row r="47" ht="15.75" customHeight="1" s="45"/>
    <row r="48" ht="15.75" customHeight="1" s="45"/>
    <row r="49" ht="15.75" customHeight="1" s="45"/>
    <row r="50" ht="15.75" customHeight="1" s="45"/>
    <row r="51" ht="15.75" customHeight="1" s="45"/>
    <row r="52" ht="15.75" customHeight="1" s="45"/>
    <row r="53" ht="15.75" customHeight="1" s="45"/>
    <row r="54" ht="15.75" customHeight="1" s="45"/>
    <row r="55" ht="15.75" customHeight="1" s="45"/>
    <row r="56" ht="15.75" customHeight="1" s="45"/>
    <row r="57" ht="15.75" customHeight="1" s="45"/>
    <row r="58" ht="15.75" customHeight="1" s="45"/>
    <row r="59" ht="15.75" customHeight="1" s="45"/>
    <row r="60" ht="15.75" customHeight="1" s="45"/>
    <row r="61" ht="15.75" customHeight="1" s="45"/>
    <row r="62" ht="15.75" customHeight="1" s="45"/>
    <row r="63" ht="15.75" customHeight="1" s="45"/>
    <row r="64" ht="15.75" customHeight="1" s="45"/>
    <row r="65" ht="15.75" customHeight="1" s="45"/>
    <row r="66" ht="15.75" customHeight="1" s="45"/>
    <row r="67" ht="15.75" customHeight="1" s="45"/>
    <row r="68" ht="15.75" customHeight="1" s="45"/>
    <row r="69" ht="15.75" customHeight="1" s="45"/>
    <row r="70" ht="15.75" customHeight="1" s="45"/>
    <row r="71" ht="15.75" customHeight="1" s="45"/>
    <row r="72" ht="15.75" customHeight="1" s="45"/>
    <row r="73" ht="15.75" customHeight="1" s="45"/>
    <row r="74" ht="15.75" customHeight="1" s="45"/>
    <row r="75" ht="15.75" customHeight="1" s="45"/>
    <row r="76" ht="15.75" customHeight="1" s="45"/>
    <row r="77" ht="15.75" customHeight="1" s="45"/>
    <row r="78" ht="15.75" customHeight="1" s="45"/>
    <row r="79" ht="15.75" customHeight="1" s="45"/>
    <row r="80" ht="15.75" customHeight="1" s="45"/>
    <row r="81" ht="15.75" customHeight="1" s="45"/>
    <row r="82" ht="15.75" customHeight="1" s="45"/>
    <row r="83" ht="15.75" customHeight="1" s="45"/>
    <row r="84" ht="15.75" customHeight="1" s="45"/>
    <row r="85" ht="15.75" customHeight="1" s="45"/>
    <row r="86" ht="15.75" customHeight="1" s="45"/>
    <row r="87" ht="15.75" customHeight="1" s="45"/>
    <row r="88" ht="15.75" customHeight="1" s="45"/>
    <row r="89" ht="15.75" customHeight="1" s="45"/>
    <row r="90" ht="15.75" customHeight="1" s="45"/>
    <row r="91" ht="15.75" customHeight="1" s="45"/>
    <row r="92" ht="15.75" customHeight="1" s="45"/>
    <row r="93" ht="15.75" customHeight="1" s="45"/>
    <row r="94" ht="15.75" customHeight="1" s="45"/>
    <row r="95" ht="15.75" customHeight="1" s="45"/>
    <row r="96" ht="15.75" customHeight="1" s="45"/>
    <row r="97" ht="15.75" customHeight="1" s="45"/>
    <row r="98" ht="15.75" customHeight="1" s="45"/>
    <row r="99" ht="15.75" customHeight="1" s="45"/>
    <row r="100" ht="15.75" customHeight="1" s="45"/>
    <row r="101" ht="15.75" customHeight="1" s="45"/>
    <row r="102" ht="15.75" customHeight="1" s="45"/>
    <row r="103" ht="15.75" customHeight="1" s="45"/>
    <row r="104" ht="15.75" customHeight="1" s="45"/>
    <row r="105" ht="15.75" customHeight="1" s="45"/>
    <row r="106" ht="15.75" customHeight="1" s="45"/>
    <row r="107" ht="15.75" customHeight="1" s="45"/>
    <row r="108" ht="15.75" customHeight="1" s="45"/>
    <row r="109" ht="15.75" customHeight="1" s="45"/>
    <row r="110" ht="15.75" customHeight="1" s="45"/>
    <row r="111" ht="15.75" customHeight="1" s="45"/>
    <row r="112" ht="15.75" customHeight="1" s="45"/>
    <row r="113" ht="15.75" customHeight="1" s="45"/>
    <row r="114" ht="15.75" customHeight="1" s="45"/>
    <row r="115" ht="15.75" customHeight="1" s="45"/>
    <row r="116" ht="15.75" customHeight="1" s="45"/>
    <row r="117" ht="15.75" customHeight="1" s="45"/>
    <row r="118" ht="15.75" customHeight="1" s="45"/>
    <row r="119" ht="15.75" customHeight="1" s="45"/>
    <row r="120" ht="15.75" customHeight="1" s="45"/>
    <row r="121" ht="15.75" customHeight="1" s="45"/>
    <row r="122" ht="15.75" customHeight="1" s="45"/>
    <row r="123" ht="15.75" customHeight="1" s="45"/>
    <row r="124" ht="15.75" customHeight="1" s="45"/>
    <row r="125" ht="15.75" customHeight="1" s="45"/>
    <row r="126" ht="15.75" customHeight="1" s="45"/>
    <row r="127" ht="15.75" customHeight="1" s="45"/>
    <row r="128" ht="15.75" customHeight="1" s="45"/>
    <row r="129" ht="15.75" customHeight="1" s="45"/>
    <row r="130" ht="15.75" customHeight="1" s="45"/>
    <row r="131" ht="15.75" customHeight="1" s="45"/>
    <row r="132" ht="15.75" customHeight="1" s="45"/>
    <row r="133" ht="15.75" customHeight="1" s="45"/>
    <row r="134" ht="15.75" customHeight="1" s="45"/>
    <row r="135" ht="15.75" customHeight="1" s="45"/>
    <row r="136" ht="15.75" customHeight="1" s="45"/>
    <row r="137" ht="15.75" customHeight="1" s="45"/>
    <row r="138" ht="15.75" customHeight="1" s="45"/>
    <row r="139" ht="15.75" customHeight="1" s="45"/>
    <row r="140" ht="15.75" customHeight="1" s="45"/>
    <row r="141" ht="15.75" customHeight="1" s="45"/>
    <row r="142" ht="15.75" customHeight="1" s="45"/>
    <row r="143" ht="15.75" customHeight="1" s="45"/>
    <row r="144" ht="15.75" customHeight="1" s="45"/>
    <row r="145" ht="15.75" customHeight="1" s="45"/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2">
    <mergeCell ref="A2:Q2"/>
    <mergeCell ref="A1:Q1"/>
  </mergeCells>
  <conditionalFormatting sqref="O5:O17">
    <cfRule type="expression" priority="1" dxfId="4">
      <formula>$O5="LOW"</formula>
    </cfRule>
  </conditionalFormatting>
  <conditionalFormatting sqref="K5:K17">
    <cfRule type="cellIs" priority="2" operator="lessThan" dxfId="5">
      <formula>0</formula>
    </cfRule>
  </conditionalFormatting>
  <conditionalFormatting sqref="N5:N17">
    <cfRule type="cellIs" priority="3" operator="greaterThan" dxfId="6">
      <formula>0</formula>
    </cfRule>
  </conditionalFormatting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R21"/>
  <sheetViews>
    <sheetView showGridLines="0" workbookViewId="0">
      <selection activeCell="A1" sqref="A1"/>
    </sheetView>
  </sheetViews>
  <sheetFormatPr baseColWidth="8" defaultColWidth="14.43" defaultRowHeight="15" customHeight="1"/>
  <cols>
    <col width="12" customWidth="1" style="45" min="1" max="1"/>
    <col width="22" customWidth="1" style="45" min="2" max="2"/>
    <col width="20" customWidth="1" style="45" min="3" max="3"/>
    <col width="16" customWidth="1" style="45" min="4" max="4"/>
    <col width="10" customWidth="1" style="45" min="5" max="7"/>
    <col width="12" customWidth="1" style="45" min="8" max="9"/>
    <col width="14" customWidth="1" style="45" min="10" max="11"/>
    <col width="11" customWidth="1" style="45" min="12" max="14"/>
    <col width="10" customWidth="1" style="45" min="15" max="15"/>
    <col width="12" customWidth="1" style="45" min="16" max="16"/>
    <col width="18" customWidth="1" style="45" min="17" max="17"/>
    <col width="8.710000000000001" customWidth="1" style="45" min="18" max="26"/>
  </cols>
  <sheetData>
    <row r="1">
      <c r="A1" s="46" t="inlineStr">
        <is>
          <t>BEBESAURS Inventory</t>
        </is>
      </c>
    </row>
    <row r="2">
      <c r="A2" s="49" t="inlineStr">
        <is>
          <t>Update blue cells only. Everything else updates automatically.</t>
        </is>
      </c>
    </row>
    <row r="3">
      <c r="A3" s="25" t="n"/>
      <c r="B3" s="25" t="n"/>
      <c r="C3" s="25" t="n"/>
      <c r="D3" s="25" t="n"/>
      <c r="E3" s="44" t="n"/>
      <c r="F3" s="44" t="n"/>
      <c r="G3" s="44" t="n"/>
      <c r="H3" s="44" t="n"/>
      <c r="I3" s="44" t="n"/>
      <c r="J3" s="44" t="n"/>
      <c r="K3" s="44" t="n"/>
      <c r="L3" s="44" t="n"/>
      <c r="M3" s="44" t="n"/>
      <c r="N3" s="44" t="n"/>
      <c r="O3" s="44" t="n"/>
      <c r="P3" s="44" t="n"/>
      <c r="Q3" s="25" t="n"/>
    </row>
    <row r="4">
      <c r="A4" s="22" t="inlineStr">
        <is>
          <t>SKU</t>
        </is>
      </c>
      <c r="B4" s="22" t="inlineStr">
        <is>
          <t>Item</t>
        </is>
      </c>
      <c r="C4" s="22" t="inlineStr">
        <is>
          <t>Color / Variant</t>
        </is>
      </c>
      <c r="D4" s="22" t="inlineStr">
        <is>
          <t>Tag</t>
        </is>
      </c>
      <c r="E4" s="24" t="inlineStr">
        <is>
          <t>Display A</t>
        </is>
      </c>
      <c r="F4" s="24" t="inlineStr">
        <is>
          <t>Display B</t>
        </is>
      </c>
      <c r="G4" s="24" t="inlineStr">
        <is>
          <t>Display C</t>
        </is>
      </c>
      <c r="H4" s="24" t="inlineStr">
        <is>
          <t>Back Stock</t>
        </is>
      </c>
      <c r="I4" s="24" t="inlineStr">
        <is>
          <t>Total Counted</t>
        </is>
      </c>
      <c r="J4" s="24" t="inlineStr">
        <is>
          <t>Original Inventory</t>
        </is>
      </c>
      <c r="K4" s="24" t="inlineStr">
        <is>
          <t>Variance vs Original</t>
        </is>
      </c>
      <c r="L4" s="24" t="inlineStr">
        <is>
          <t>Day Start</t>
        </is>
      </c>
      <c r="M4" s="24" t="inlineStr">
        <is>
          <t>Day End</t>
        </is>
      </c>
      <c r="N4" s="24" t="inlineStr">
        <is>
          <t>Sold Today</t>
        </is>
      </c>
      <c r="O4" s="24" t="inlineStr">
        <is>
          <t>Low Stock</t>
        </is>
      </c>
      <c r="P4" s="24" t="inlineStr">
        <is>
          <t>Refill Needed</t>
        </is>
      </c>
      <c r="Q4" s="22" t="inlineStr">
        <is>
          <t>Notes</t>
        </is>
      </c>
      <c r="R4" s="0" t="inlineStr">
        <is>
          <t>IP</t>
        </is>
      </c>
    </row>
    <row r="5">
      <c r="A5" s="25" t="inlineStr">
        <is>
          <t>BEBE-001</t>
        </is>
      </c>
      <c r="B5" s="25" t="inlineStr">
        <is>
          <t>Bone Dragon Small</t>
        </is>
      </c>
      <c r="C5" s="25" t="inlineStr">
        <is>
          <t>Bone</t>
        </is>
      </c>
      <c r="D5" s="25" t="inlineStr"/>
      <c r="E5" s="34" t="n">
        <v>5</v>
      </c>
      <c r="F5" s="34" t="n">
        <v>5</v>
      </c>
      <c r="G5" s="34" t="n">
        <v>4</v>
      </c>
      <c r="H5" s="34" t="n">
        <v>0</v>
      </c>
      <c r="I5" s="41">
        <f>SUM(E5:H5)</f>
        <v/>
      </c>
      <c r="J5" s="36" t="n">
        <v>14</v>
      </c>
      <c r="K5" s="41">
        <f>IF(OR(I5="",J5=""),"",I5-J5)</f>
        <v/>
      </c>
      <c r="L5" s="34" t="inlineStr"/>
      <c r="M5" s="34" t="inlineStr"/>
      <c r="N5" s="41">
        <f>IF(AND(L5&lt;&gt;"",M5&lt;&gt;""),L5-M5,"")</f>
        <v/>
      </c>
      <c r="O5" s="41">
        <f>IF(I5&lt;=SETTINGS!$B$3,"LOW","OK")</f>
        <v/>
      </c>
      <c r="P5" s="41">
        <f>MAX(0,SETTINGS!$B$4-E5)+MAX(0,SETTINGS!$B$4-F5)+MAX(0,SETTINGS!$B$4-G5)</f>
        <v/>
      </c>
      <c r="Q5" s="37" t="inlineStr"/>
    </row>
    <row r="6">
      <c r="A6" s="25" t="inlineStr">
        <is>
          <t>BEBE-002</t>
        </is>
      </c>
      <c r="B6" s="25" t="inlineStr">
        <is>
          <t>Bone Dragon Small</t>
        </is>
      </c>
      <c r="C6" s="25" t="inlineStr">
        <is>
          <t>Glow in the Dark</t>
        </is>
      </c>
      <c r="D6" s="25" t="inlineStr"/>
      <c r="E6" s="34" t="n">
        <v>10</v>
      </c>
      <c r="F6" s="34" t="n">
        <v>10</v>
      </c>
      <c r="G6" s="34" t="n">
        <v>10</v>
      </c>
      <c r="H6" s="34" t="n">
        <v>19</v>
      </c>
      <c r="I6" s="41">
        <f>SUM(E6:H6)</f>
        <v/>
      </c>
      <c r="J6" s="36" t="n">
        <v>49</v>
      </c>
      <c r="K6" s="41">
        <f>IF(OR(I6="",J6=""),"",I6-J6)</f>
        <v/>
      </c>
      <c r="L6" s="34" t="inlineStr"/>
      <c r="M6" s="34" t="inlineStr"/>
      <c r="N6" s="41">
        <f>IF(AND(L6&lt;&gt;"",M6&lt;&gt;""),L6-M6,"")</f>
        <v/>
      </c>
      <c r="O6" s="41">
        <f>IF(I6&lt;=SETTINGS!$B$3,"LOW","OK")</f>
        <v/>
      </c>
      <c r="P6" s="41">
        <f>MAX(0,SETTINGS!$B$4-E6)+MAX(0,SETTINGS!$B$4-F6)+MAX(0,SETTINGS!$B$4-G6)</f>
        <v/>
      </c>
      <c r="Q6" s="37" t="inlineStr"/>
    </row>
    <row r="7">
      <c r="A7" s="25" t="inlineStr">
        <is>
          <t>BEBE-003</t>
        </is>
      </c>
      <c r="B7" s="25" t="inlineStr">
        <is>
          <t>Bone Dragon Small</t>
        </is>
      </c>
      <c r="C7" s="25" t="inlineStr">
        <is>
          <t>Metallic Blue</t>
        </is>
      </c>
      <c r="D7" s="25" t="inlineStr"/>
      <c r="E7" s="34" t="n">
        <v>5</v>
      </c>
      <c r="F7" s="34" t="n">
        <v>5</v>
      </c>
      <c r="G7" s="34" t="n">
        <v>5</v>
      </c>
      <c r="H7" s="34" t="n">
        <v>0</v>
      </c>
      <c r="I7" s="41">
        <f>SUM(E7:H7)</f>
        <v/>
      </c>
      <c r="J7" s="36" t="n">
        <v>15</v>
      </c>
      <c r="K7" s="41">
        <f>IF(OR(I7="",J7=""),"",I7-J7)</f>
        <v/>
      </c>
      <c r="L7" s="34" t="inlineStr"/>
      <c r="M7" s="34" t="inlineStr"/>
      <c r="N7" s="41">
        <f>IF(AND(L7&lt;&gt;"",M7&lt;&gt;""),L7-M7,"")</f>
        <v/>
      </c>
      <c r="O7" s="41">
        <f>IF(I7&lt;=SETTINGS!$B$3,"LOW","OK")</f>
        <v/>
      </c>
      <c r="P7" s="41">
        <f>MAX(0,SETTINGS!$B$4-E7)+MAX(0,SETTINGS!$B$4-F7)+MAX(0,SETTINGS!$B$4-G7)</f>
        <v/>
      </c>
      <c r="Q7" s="37" t="inlineStr"/>
    </row>
    <row r="8">
      <c r="A8" s="25" t="inlineStr">
        <is>
          <t>BEBE-004</t>
        </is>
      </c>
      <c r="B8" s="25" t="inlineStr">
        <is>
          <t>Bone Dragon Small</t>
        </is>
      </c>
      <c r="C8" s="25" t="inlineStr">
        <is>
          <t>Metallic Red</t>
        </is>
      </c>
      <c r="D8" s="25" t="inlineStr"/>
      <c r="E8" s="34" t="n">
        <v>4</v>
      </c>
      <c r="F8" s="34" t="n">
        <v>4</v>
      </c>
      <c r="G8" s="34" t="n">
        <v>3</v>
      </c>
      <c r="H8" s="34" t="n">
        <v>0</v>
      </c>
      <c r="I8" s="41">
        <f>SUM(E8:H8)</f>
        <v/>
      </c>
      <c r="J8" s="36" t="n">
        <v>11</v>
      </c>
      <c r="K8" s="41">
        <f>IF(OR(I8="",J8=""),"",I8-J8)</f>
        <v/>
      </c>
      <c r="L8" s="34" t="inlineStr"/>
      <c r="M8" s="34" t="inlineStr"/>
      <c r="N8" s="41">
        <f>IF(AND(L8&lt;&gt;"",M8&lt;&gt;""),L8-M8,"")</f>
        <v/>
      </c>
      <c r="O8" s="41">
        <f>IF(I8&lt;=SETTINGS!$B$3,"LOW","OK")</f>
        <v/>
      </c>
      <c r="P8" s="41">
        <f>MAX(0,SETTINGS!$B$4-E8)+MAX(0,SETTINGS!$B$4-F8)+MAX(0,SETTINGS!$B$4-G8)</f>
        <v/>
      </c>
      <c r="Q8" s="37" t="inlineStr"/>
    </row>
    <row r="9">
      <c r="A9" s="25" t="inlineStr">
        <is>
          <t>BEBE-005</t>
        </is>
      </c>
      <c r="B9" s="25" t="inlineStr">
        <is>
          <t>Bone Dragon Small</t>
        </is>
      </c>
      <c r="C9" s="25" t="inlineStr">
        <is>
          <t>Metallic Gold</t>
        </is>
      </c>
      <c r="D9" s="25" t="inlineStr"/>
      <c r="E9" s="34" t="n">
        <v>4</v>
      </c>
      <c r="F9" s="34" t="n">
        <v>3</v>
      </c>
      <c r="G9" s="34" t="n">
        <v>3</v>
      </c>
      <c r="H9" s="34" t="n">
        <v>0</v>
      </c>
      <c r="I9" s="41">
        <f>SUM(E9:H9)</f>
        <v/>
      </c>
      <c r="J9" s="36" t="n">
        <v>10</v>
      </c>
      <c r="K9" s="41">
        <f>IF(OR(I9="",J9=""),"",I9-J9)</f>
        <v/>
      </c>
      <c r="L9" s="34" t="inlineStr"/>
      <c r="M9" s="34" t="inlineStr"/>
      <c r="N9" s="41">
        <f>IF(AND(L9&lt;&gt;"",M9&lt;&gt;""),L9-M9,"")</f>
        <v/>
      </c>
      <c r="O9" s="41">
        <f>IF(I9&lt;=SETTINGS!$B$3,"LOW","OK")</f>
        <v/>
      </c>
      <c r="P9" s="41">
        <f>MAX(0,SETTINGS!$B$4-E9)+MAX(0,SETTINGS!$B$4-F9)+MAX(0,SETTINGS!$B$4-G9)</f>
        <v/>
      </c>
      <c r="Q9" s="37" t="inlineStr"/>
    </row>
    <row r="10">
      <c r="A10" s="25" t="inlineStr">
        <is>
          <t>BEBE-006</t>
        </is>
      </c>
      <c r="B10" s="25" t="inlineStr">
        <is>
          <t>Bone Dragon Small</t>
        </is>
      </c>
      <c r="C10" s="25" t="inlineStr">
        <is>
          <t>Coral</t>
        </is>
      </c>
      <c r="D10" s="25" t="inlineStr"/>
      <c r="E10" s="34" t="n">
        <v>2</v>
      </c>
      <c r="F10" s="34" t="n">
        <v>2</v>
      </c>
      <c r="G10" s="34" t="n">
        <v>2</v>
      </c>
      <c r="H10" s="34" t="n">
        <v>0</v>
      </c>
      <c r="I10" s="41">
        <f>SUM(E10:H10)</f>
        <v/>
      </c>
      <c r="J10" s="36" t="n">
        <v>6</v>
      </c>
      <c r="K10" s="41">
        <f>IF(OR(I10="",J10=""),"",I10-J10)</f>
        <v/>
      </c>
      <c r="L10" s="34" t="inlineStr"/>
      <c r="M10" s="34" t="inlineStr"/>
      <c r="N10" s="41">
        <f>IF(AND(L10&lt;&gt;"",M10&lt;&gt;""),L10-M10,"")</f>
        <v/>
      </c>
      <c r="O10" s="41">
        <f>IF(I10&lt;=SETTINGS!$B$3,"LOW","OK")</f>
        <v/>
      </c>
      <c r="P10" s="41">
        <f>MAX(0,SETTINGS!$B$4-E10)+MAX(0,SETTINGS!$B$4-F10)+MAX(0,SETTINGS!$B$4-G10)</f>
        <v/>
      </c>
      <c r="Q10" s="37" t="inlineStr"/>
    </row>
    <row r="11">
      <c r="A11" s="25" t="inlineStr">
        <is>
          <t>BEBE-007</t>
        </is>
      </c>
      <c r="B11" s="25" t="inlineStr">
        <is>
          <t>Bone Dragon Small</t>
        </is>
      </c>
      <c r="C11" s="25" t="inlineStr">
        <is>
          <t>Pink</t>
        </is>
      </c>
      <c r="D11" s="25" t="inlineStr"/>
      <c r="E11" s="34" t="n">
        <v>1</v>
      </c>
      <c r="F11" s="34" t="n">
        <v>1</v>
      </c>
      <c r="G11" s="34" t="n">
        <v>0</v>
      </c>
      <c r="H11" s="34" t="n">
        <v>0</v>
      </c>
      <c r="I11" s="41">
        <f>SUM(E11:H11)</f>
        <v/>
      </c>
      <c r="J11" s="36" t="n">
        <v>2</v>
      </c>
      <c r="K11" s="41">
        <f>IF(OR(I11="",J11=""),"",I11-J11)</f>
        <v/>
      </c>
      <c r="L11" s="34" t="inlineStr"/>
      <c r="M11" s="34" t="inlineStr"/>
      <c r="N11" s="41">
        <f>IF(AND(L11&lt;&gt;"",M11&lt;&gt;""),L11-M11,"")</f>
        <v/>
      </c>
      <c r="O11" s="41">
        <f>IF(I11&lt;=SETTINGS!$B$3,"LOW","OK")</f>
        <v/>
      </c>
      <c r="P11" s="41">
        <f>MAX(0,SETTINGS!$B$4-E11)+MAX(0,SETTINGS!$B$4-F11)+MAX(0,SETTINGS!$B$4-G11)</f>
        <v/>
      </c>
      <c r="Q11" s="37" t="inlineStr"/>
    </row>
    <row r="12">
      <c r="A12" s="25" t="inlineStr">
        <is>
          <t>BEBE-008</t>
        </is>
      </c>
      <c r="B12" s="25" t="inlineStr">
        <is>
          <t>Bone Dragon Small</t>
        </is>
      </c>
      <c r="C12" s="25" t="inlineStr">
        <is>
          <t>Metallik Pink</t>
        </is>
      </c>
      <c r="D12" s="25" t="inlineStr"/>
      <c r="E12" s="34" t="n">
        <v>2</v>
      </c>
      <c r="F12" s="34" t="n">
        <v>2</v>
      </c>
      <c r="G12" s="34" t="n">
        <v>1</v>
      </c>
      <c r="H12" s="34" t="n">
        <v>0</v>
      </c>
      <c r="I12" s="41">
        <f>SUM(E12:H12)</f>
        <v/>
      </c>
      <c r="J12" s="36" t="n">
        <v>5</v>
      </c>
      <c r="K12" s="41">
        <f>IF(OR(I12="",J12=""),"",I12-J12)</f>
        <v/>
      </c>
      <c r="L12" s="34" t="inlineStr"/>
      <c r="M12" s="34" t="inlineStr"/>
      <c r="N12" s="41">
        <f>IF(AND(L12&lt;&gt;"",M12&lt;&gt;""),L12-M12,"")</f>
        <v/>
      </c>
      <c r="O12" s="41">
        <f>IF(I12&lt;=SETTINGS!$B$3,"LOW","OK")</f>
        <v/>
      </c>
      <c r="P12" s="41">
        <f>MAX(0,SETTINGS!$B$4-E12)+MAX(0,SETTINGS!$B$4-F12)+MAX(0,SETTINGS!$B$4-G12)</f>
        <v/>
      </c>
      <c r="Q12" s="37" t="inlineStr"/>
    </row>
    <row r="13">
      <c r="A13" s="25" t="inlineStr">
        <is>
          <t>BEBE-009</t>
        </is>
      </c>
      <c r="B13" s="25" t="inlineStr">
        <is>
          <t>Bone Dragon Small</t>
        </is>
      </c>
      <c r="C13" s="25" t="inlineStr">
        <is>
          <t>Black</t>
        </is>
      </c>
      <c r="D13" s="25" t="inlineStr"/>
      <c r="E13" s="34" t="n">
        <v>4</v>
      </c>
      <c r="F13" s="34" t="n">
        <v>4</v>
      </c>
      <c r="G13" s="34" t="n">
        <v>4</v>
      </c>
      <c r="H13" s="34" t="n">
        <v>0</v>
      </c>
      <c r="I13" s="41">
        <f>SUM(E13:H13)</f>
        <v/>
      </c>
      <c r="J13" s="36" t="n">
        <v>12</v>
      </c>
      <c r="K13" s="41">
        <f>IF(OR(I13="",J13=""),"",I13-J13)</f>
        <v/>
      </c>
      <c r="L13" s="34" t="inlineStr"/>
      <c r="M13" s="34" t="inlineStr"/>
      <c r="N13" s="41">
        <f>IF(AND(L13&lt;&gt;"",M13&lt;&gt;""),L13-M13,"")</f>
        <v/>
      </c>
      <c r="O13" s="41">
        <f>IF(I13&lt;=SETTINGS!$B$3,"LOW","OK")</f>
        <v/>
      </c>
      <c r="P13" s="41">
        <f>MAX(0,SETTINGS!$B$4-E13)+MAX(0,SETTINGS!$B$4-F13)+MAX(0,SETTINGS!$B$4-G13)</f>
        <v/>
      </c>
      <c r="Q13" s="37" t="inlineStr"/>
    </row>
    <row r="14">
      <c r="A14" s="25" t="inlineStr">
        <is>
          <t>BEBE-010</t>
        </is>
      </c>
      <c r="B14" s="25" t="inlineStr">
        <is>
          <t>Bone Dragon Small</t>
        </is>
      </c>
      <c r="C14" s="25" t="inlineStr">
        <is>
          <t>Gunmetal/Gray</t>
        </is>
      </c>
      <c r="D14" s="25" t="inlineStr"/>
      <c r="E14" s="34" t="n">
        <v>4</v>
      </c>
      <c r="F14" s="34" t="n">
        <v>4</v>
      </c>
      <c r="G14" s="34" t="n">
        <v>3</v>
      </c>
      <c r="H14" s="34" t="n">
        <v>0</v>
      </c>
      <c r="I14" s="41">
        <f>SUM(E14:H14)</f>
        <v/>
      </c>
      <c r="J14" s="36" t="n">
        <v>11</v>
      </c>
      <c r="K14" s="41">
        <f>IF(OR(I14="",J14=""),"",I14-J14)</f>
        <v/>
      </c>
      <c r="L14" s="34" t="inlineStr"/>
      <c r="M14" s="34" t="inlineStr"/>
      <c r="N14" s="41">
        <f>IF(AND(L14&lt;&gt;"",M14&lt;&gt;""),L14-M14,"")</f>
        <v/>
      </c>
      <c r="O14" s="41">
        <f>IF(I14&lt;=SETTINGS!$B$3,"LOW","OK")</f>
        <v/>
      </c>
      <c r="P14" s="41">
        <f>MAX(0,SETTINGS!$B$4-E14)+MAX(0,SETTINGS!$B$4-F14)+MAX(0,SETTINGS!$B$4-G14)</f>
        <v/>
      </c>
      <c r="Q14" s="37" t="inlineStr"/>
    </row>
    <row r="15">
      <c r="A15" s="25" t="inlineStr">
        <is>
          <t>BEBE-011</t>
        </is>
      </c>
      <c r="B15" s="25" t="inlineStr">
        <is>
          <t>Potion Red</t>
        </is>
      </c>
      <c r="C15" s="25" t="inlineStr">
        <is>
          <t>Red</t>
        </is>
      </c>
      <c r="D15" s="25" t="inlineStr"/>
      <c r="E15" s="34" t="n">
        <v>2</v>
      </c>
      <c r="F15" s="34" t="n">
        <v>2</v>
      </c>
      <c r="G15" s="34" t="n">
        <v>2</v>
      </c>
      <c r="H15" s="34" t="n">
        <v>0</v>
      </c>
      <c r="I15" s="41">
        <f>SUM(E15:H15)</f>
        <v/>
      </c>
      <c r="J15" s="36" t="n">
        <v>6</v>
      </c>
      <c r="K15" s="41">
        <f>IF(OR(I15="",J15=""),"",I15-J15)</f>
        <v/>
      </c>
      <c r="L15" s="34" t="inlineStr"/>
      <c r="M15" s="34" t="inlineStr"/>
      <c r="N15" s="41">
        <f>IF(AND(L15&lt;&gt;"",M15&lt;&gt;""),L15-M15,"")</f>
        <v/>
      </c>
      <c r="O15" s="41">
        <f>IF(I15&lt;=SETTINGS!$B$3,"LOW","OK")</f>
        <v/>
      </c>
      <c r="P15" s="41">
        <f>MAX(0,SETTINGS!$B$4-E15)+MAX(0,SETTINGS!$B$4-F15)+MAX(0,SETTINGS!$B$4-G15)</f>
        <v/>
      </c>
      <c r="Q15" s="37" t="inlineStr"/>
    </row>
    <row r="16">
      <c r="A16" s="25" t="inlineStr">
        <is>
          <t>BEBE-012</t>
        </is>
      </c>
      <c r="B16" s="25" t="inlineStr">
        <is>
          <t>Potion Gold</t>
        </is>
      </c>
      <c r="C16" s="25" t="inlineStr">
        <is>
          <t>Gold</t>
        </is>
      </c>
      <c r="D16" s="25" t="inlineStr"/>
      <c r="E16" s="34" t="n">
        <v>2</v>
      </c>
      <c r="F16" s="34" t="n">
        <v>2</v>
      </c>
      <c r="G16" s="34" t="n">
        <v>1</v>
      </c>
      <c r="H16" s="34" t="n">
        <v>0</v>
      </c>
      <c r="I16" s="41">
        <f>SUM(E16:H16)</f>
        <v/>
      </c>
      <c r="J16" s="36" t="n">
        <v>5</v>
      </c>
      <c r="K16" s="41">
        <f>IF(OR(I16="",J16=""),"",I16-J16)</f>
        <v/>
      </c>
      <c r="L16" s="34" t="inlineStr"/>
      <c r="M16" s="34" t="inlineStr"/>
      <c r="N16" s="41">
        <f>IF(AND(L16&lt;&gt;"",M16&lt;&gt;""),L16-M16,"")</f>
        <v/>
      </c>
      <c r="O16" s="41">
        <f>IF(I16&lt;=SETTINGS!$B$3,"LOW","OK")</f>
        <v/>
      </c>
      <c r="P16" s="41">
        <f>MAX(0,SETTINGS!$B$4-E16)+MAX(0,SETTINGS!$B$4-F16)+MAX(0,SETTINGS!$B$4-G16)</f>
        <v/>
      </c>
      <c r="Q16" s="37" t="inlineStr"/>
    </row>
    <row r="17">
      <c r="A17" s="25" t="inlineStr">
        <is>
          <t>BEBE-013</t>
        </is>
      </c>
      <c r="B17" s="25" t="inlineStr">
        <is>
          <t>Potion Blue</t>
        </is>
      </c>
      <c r="C17" s="25" t="inlineStr">
        <is>
          <t>Blue</t>
        </is>
      </c>
      <c r="D17" s="25" t="inlineStr"/>
      <c r="E17" s="34" t="n">
        <v>2</v>
      </c>
      <c r="F17" s="34" t="n">
        <v>2</v>
      </c>
      <c r="G17" s="34" t="n">
        <v>2</v>
      </c>
      <c r="H17" s="34" t="n">
        <v>0</v>
      </c>
      <c r="I17" s="41">
        <f>SUM(E17:H17)</f>
        <v/>
      </c>
      <c r="J17" s="36" t="n">
        <v>6</v>
      </c>
      <c r="K17" s="41">
        <f>IF(OR(I17="",J17=""),"",I17-J17)</f>
        <v/>
      </c>
      <c r="L17" s="34" t="inlineStr"/>
      <c r="M17" s="34" t="inlineStr"/>
      <c r="N17" s="41">
        <f>IF(AND(L17&lt;&gt;"",M17&lt;&gt;""),L17-M17,"")</f>
        <v/>
      </c>
      <c r="O17" s="41">
        <f>IF(I17&lt;=SETTINGS!$B$3,"LOW","OK")</f>
        <v/>
      </c>
      <c r="P17" s="41">
        <f>MAX(0,SETTINGS!$B$4-E17)+MAX(0,SETTINGS!$B$4-F17)+MAX(0,SETTINGS!$B$4-G17)</f>
        <v/>
      </c>
      <c r="Q17" s="37" t="inlineStr"/>
    </row>
    <row r="18">
      <c r="A18" s="25" t="inlineStr">
        <is>
          <t>BEBE-014</t>
        </is>
      </c>
      <c r="B18" s="25" t="inlineStr">
        <is>
          <t>Treasure Chest Closed</t>
        </is>
      </c>
      <c r="C18" s="25" t="inlineStr"/>
      <c r="D18" s="25" t="inlineStr"/>
      <c r="E18" s="34" t="n">
        <v>2</v>
      </c>
      <c r="F18" s="34" t="n">
        <v>2</v>
      </c>
      <c r="G18" s="34" t="n">
        <v>2</v>
      </c>
      <c r="H18" s="34" t="n">
        <v>0</v>
      </c>
      <c r="I18" s="41">
        <f>SUM(E18:H18)</f>
        <v/>
      </c>
      <c r="J18" s="36" t="n">
        <v>6</v>
      </c>
      <c r="K18" s="41">
        <f>IF(OR(I18="",J18=""),"",I18-J18)</f>
        <v/>
      </c>
      <c r="L18" s="34" t="inlineStr"/>
      <c r="M18" s="34" t="inlineStr"/>
      <c r="N18" s="41">
        <f>IF(AND(L18&lt;&gt;"",M18&lt;&gt;""),L18-M18,"")</f>
        <v/>
      </c>
      <c r="O18" s="41">
        <f>IF(I18&lt;=SETTINGS!$B$3,"LOW","OK")</f>
        <v/>
      </c>
      <c r="P18" s="41">
        <f>MAX(0,SETTINGS!$B$4-E18)+MAX(0,SETTINGS!$B$4-F18)+MAX(0,SETTINGS!$B$4-G18)</f>
        <v/>
      </c>
      <c r="Q18" s="37" t="inlineStr"/>
    </row>
    <row r="19">
      <c r="A19" s="25" t="inlineStr">
        <is>
          <t>BEBE-015</t>
        </is>
      </c>
      <c r="B19" s="25" t="inlineStr">
        <is>
          <t>Treasure Chest Tongue</t>
        </is>
      </c>
      <c r="C19" s="25" t="inlineStr"/>
      <c r="D19" s="25" t="inlineStr"/>
      <c r="E19" s="34" t="n">
        <v>2</v>
      </c>
      <c r="F19" s="34" t="n">
        <v>2</v>
      </c>
      <c r="G19" s="34" t="n">
        <v>2</v>
      </c>
      <c r="H19" s="34" t="n">
        <v>0</v>
      </c>
      <c r="I19" s="41">
        <f>SUM(E19:H19)</f>
        <v/>
      </c>
      <c r="J19" s="36" t="n">
        <v>6</v>
      </c>
      <c r="K19" s="41">
        <f>IF(OR(I19="",J19=""),"",I19-J19)</f>
        <v/>
      </c>
      <c r="L19" s="34" t="inlineStr"/>
      <c r="M19" s="34" t="inlineStr"/>
      <c r="N19" s="41">
        <f>IF(AND(L19&lt;&gt;"",M19&lt;&gt;""),L19-M19,"")</f>
        <v/>
      </c>
      <c r="O19" s="41">
        <f>IF(I19&lt;=SETTINGS!$B$3,"LOW","OK")</f>
        <v/>
      </c>
      <c r="P19" s="41">
        <f>MAX(0,SETTINGS!$B$4-E19)+MAX(0,SETTINGS!$B$4-F19)+MAX(0,SETTINGS!$B$4-G19)</f>
        <v/>
      </c>
      <c r="Q19" s="37" t="inlineStr"/>
    </row>
    <row r="20">
      <c r="A20" s="25" t="n"/>
      <c r="B20" s="25" t="n"/>
      <c r="C20" s="25" t="n"/>
      <c r="D20" s="25" t="n"/>
      <c r="E20" s="44" t="n"/>
      <c r="F20" s="44" t="n"/>
      <c r="G20" s="44" t="n"/>
      <c r="H20" s="44" t="n"/>
      <c r="I20" s="44" t="n"/>
      <c r="J20" s="44" t="n"/>
      <c r="K20" s="44" t="n"/>
      <c r="L20" s="44" t="n"/>
      <c r="M20" s="44" t="n"/>
      <c r="N20" s="44" t="n"/>
      <c r="O20" s="44" t="n"/>
      <c r="P20" s="44" t="n"/>
      <c r="Q20" s="25" t="n"/>
    </row>
    <row r="21" ht="15.75" customHeight="1" s="45">
      <c r="A21" s="38" t="inlineStr">
        <is>
          <t>Category Totals</t>
        </is>
      </c>
      <c r="B21" s="39" t="inlineStr">
        <is>
          <t>Total Counted</t>
        </is>
      </c>
      <c r="C21" s="40">
        <f>SUM(I5:I21)</f>
        <v/>
      </c>
      <c r="D21" s="39" t="inlineStr">
        <is>
          <t>Original Inventory</t>
        </is>
      </c>
      <c r="E21" s="41">
        <f>SUM(J5:J21)</f>
        <v/>
      </c>
      <c r="F21" s="42" t="inlineStr">
        <is>
          <t>Variance</t>
        </is>
      </c>
      <c r="G21" s="41">
        <f>SUM(K5:K21)</f>
        <v/>
      </c>
      <c r="H21" s="42" t="inlineStr">
        <is>
          <t>Sold Today</t>
        </is>
      </c>
      <c r="I21" s="41">
        <f>SUM(N5:N21)</f>
        <v/>
      </c>
      <c r="J21" s="42" t="inlineStr">
        <is>
          <t>Low Stock SKUs</t>
        </is>
      </c>
      <c r="K21" s="43">
        <f>COUNTIF(O5:O21,"LOW")</f>
        <v/>
      </c>
      <c r="L21" s="42" t="inlineStr">
        <is>
          <t>Refill Needed</t>
        </is>
      </c>
      <c r="M21" s="41">
        <f>SUM(P5:P21)</f>
        <v/>
      </c>
      <c r="N21" s="44" t="n"/>
      <c r="O21" s="44" t="n"/>
      <c r="P21" s="44" t="n"/>
      <c r="Q21" s="25" t="n"/>
    </row>
    <row r="22" ht="15.75" customHeight="1" s="45"/>
    <row r="23" ht="15.75" customHeight="1" s="45"/>
    <row r="24" ht="15.75" customHeight="1" s="45"/>
    <row r="25" ht="15.75" customHeight="1" s="45"/>
    <row r="26" ht="15.75" customHeight="1" s="45"/>
    <row r="27" ht="15.75" customHeight="1" s="45"/>
    <row r="28" ht="15.75" customHeight="1" s="45"/>
    <row r="29" ht="15.75" customHeight="1" s="45"/>
    <row r="30" ht="15.75" customHeight="1" s="45"/>
    <row r="31" ht="15.75" customHeight="1" s="45"/>
    <row r="32" ht="15.75" customHeight="1" s="45"/>
    <row r="33" ht="15.75" customHeight="1" s="45"/>
    <row r="34" ht="15.75" customHeight="1" s="45"/>
    <row r="35" ht="15.75" customHeight="1" s="45"/>
    <row r="36" ht="15.75" customHeight="1" s="45"/>
    <row r="37" ht="15.75" customHeight="1" s="45"/>
    <row r="38" ht="15.75" customHeight="1" s="45"/>
    <row r="39" ht="15.75" customHeight="1" s="45"/>
    <row r="40" ht="15.75" customHeight="1" s="45"/>
    <row r="41" ht="15.75" customHeight="1" s="45"/>
    <row r="42" ht="15.75" customHeight="1" s="45"/>
    <row r="43" ht="15.75" customHeight="1" s="45"/>
    <row r="44" ht="15.75" customHeight="1" s="45"/>
    <row r="45" ht="15.75" customHeight="1" s="45"/>
    <row r="46" ht="15.75" customHeight="1" s="45"/>
    <row r="47" ht="15.75" customHeight="1" s="45"/>
    <row r="48" ht="15.75" customHeight="1" s="45"/>
    <row r="49" ht="15.75" customHeight="1" s="45"/>
    <row r="50" ht="15.75" customHeight="1" s="45"/>
    <row r="51" ht="15.75" customHeight="1" s="45"/>
    <row r="52" ht="15.75" customHeight="1" s="45"/>
    <row r="53" ht="15.75" customHeight="1" s="45"/>
    <row r="54" ht="15.75" customHeight="1" s="45"/>
    <row r="55" ht="15.75" customHeight="1" s="45"/>
    <row r="56" ht="15.75" customHeight="1" s="45"/>
    <row r="57" ht="15.75" customHeight="1" s="45"/>
    <row r="58" ht="15.75" customHeight="1" s="45"/>
    <row r="59" ht="15.75" customHeight="1" s="45"/>
    <row r="60" ht="15.75" customHeight="1" s="45"/>
    <row r="61" ht="15.75" customHeight="1" s="45"/>
    <row r="62" ht="15.75" customHeight="1" s="45"/>
    <row r="63" ht="15.75" customHeight="1" s="45"/>
    <row r="64" ht="15.75" customHeight="1" s="45"/>
    <row r="65" ht="15.75" customHeight="1" s="45"/>
    <row r="66" ht="15.75" customHeight="1" s="45"/>
    <row r="67" ht="15.75" customHeight="1" s="45"/>
    <row r="68" ht="15.75" customHeight="1" s="45"/>
    <row r="69" ht="15.75" customHeight="1" s="45"/>
    <row r="70" ht="15.75" customHeight="1" s="45"/>
    <row r="71" ht="15.75" customHeight="1" s="45"/>
    <row r="72" ht="15.75" customHeight="1" s="45"/>
    <row r="73" ht="15.75" customHeight="1" s="45"/>
    <row r="74" ht="15.75" customHeight="1" s="45"/>
    <row r="75" ht="15.75" customHeight="1" s="45"/>
    <row r="76" ht="15.75" customHeight="1" s="45"/>
    <row r="77" ht="15.75" customHeight="1" s="45"/>
    <row r="78" ht="15.75" customHeight="1" s="45"/>
    <row r="79" ht="15.75" customHeight="1" s="45"/>
    <row r="80" ht="15.75" customHeight="1" s="45"/>
    <row r="81" ht="15.75" customHeight="1" s="45"/>
    <row r="82" ht="15.75" customHeight="1" s="45"/>
    <row r="83" ht="15.75" customHeight="1" s="45"/>
    <row r="84" ht="15.75" customHeight="1" s="45"/>
    <row r="85" ht="15.75" customHeight="1" s="45"/>
    <row r="86" ht="15.75" customHeight="1" s="45"/>
    <row r="87" ht="15.75" customHeight="1" s="45"/>
    <row r="88" ht="15.75" customHeight="1" s="45"/>
    <row r="89" ht="15.75" customHeight="1" s="45"/>
    <row r="90" ht="15.75" customHeight="1" s="45"/>
    <row r="91" ht="15.75" customHeight="1" s="45"/>
    <row r="92" ht="15.75" customHeight="1" s="45"/>
    <row r="93" ht="15.75" customHeight="1" s="45"/>
    <row r="94" ht="15.75" customHeight="1" s="45"/>
    <row r="95" ht="15.75" customHeight="1" s="45"/>
    <row r="96" ht="15.75" customHeight="1" s="45"/>
    <row r="97" ht="15.75" customHeight="1" s="45"/>
    <row r="98" ht="15.75" customHeight="1" s="45"/>
    <row r="99" ht="15.75" customHeight="1" s="45"/>
    <row r="100" ht="15.75" customHeight="1" s="45"/>
    <row r="101" ht="15.75" customHeight="1" s="45"/>
    <row r="102" ht="15.75" customHeight="1" s="45"/>
    <row r="103" ht="15.75" customHeight="1" s="45"/>
    <row r="104" ht="15.75" customHeight="1" s="45"/>
    <row r="105" ht="15.75" customHeight="1" s="45"/>
    <row r="106" ht="15.75" customHeight="1" s="45"/>
    <row r="107" ht="15.75" customHeight="1" s="45"/>
    <row r="108" ht="15.75" customHeight="1" s="45"/>
    <row r="109" ht="15.75" customHeight="1" s="45"/>
    <row r="110" ht="15.75" customHeight="1" s="45"/>
    <row r="111" ht="15.75" customHeight="1" s="45"/>
    <row r="112" ht="15.75" customHeight="1" s="45"/>
    <row r="113" ht="15.75" customHeight="1" s="45"/>
    <row r="114" ht="15.75" customHeight="1" s="45"/>
    <row r="115" ht="15.75" customHeight="1" s="45"/>
    <row r="116" ht="15.75" customHeight="1" s="45"/>
    <row r="117" ht="15.75" customHeight="1" s="45"/>
    <row r="118" ht="15.75" customHeight="1" s="45"/>
    <row r="119" ht="15.75" customHeight="1" s="45"/>
    <row r="120" ht="15.75" customHeight="1" s="45"/>
    <row r="121" ht="15.75" customHeight="1" s="45"/>
    <row r="122" ht="15.75" customHeight="1" s="45"/>
    <row r="123" ht="15.75" customHeight="1" s="45"/>
    <row r="124" ht="15.75" customHeight="1" s="45"/>
    <row r="125" ht="15.75" customHeight="1" s="45"/>
    <row r="126" ht="15.75" customHeight="1" s="45"/>
    <row r="127" ht="15.75" customHeight="1" s="45"/>
    <row r="128" ht="15.75" customHeight="1" s="45"/>
    <row r="129" ht="15.75" customHeight="1" s="45"/>
    <row r="130" ht="15.75" customHeight="1" s="45"/>
    <row r="131" ht="15.75" customHeight="1" s="45"/>
    <row r="132" ht="15.75" customHeight="1" s="45"/>
    <row r="133" ht="15.75" customHeight="1" s="45"/>
    <row r="134" ht="15.75" customHeight="1" s="45"/>
    <row r="135" ht="15.75" customHeight="1" s="45"/>
    <row r="136" ht="15.75" customHeight="1" s="45"/>
    <row r="137" ht="15.75" customHeight="1" s="45"/>
    <row r="138" ht="15.75" customHeight="1" s="45"/>
    <row r="139" ht="15.75" customHeight="1" s="45"/>
    <row r="140" ht="15.75" customHeight="1" s="45"/>
    <row r="141" ht="15.75" customHeight="1" s="45"/>
    <row r="142" ht="15.75" customHeight="1" s="45"/>
    <row r="143" ht="15.75" customHeight="1" s="45"/>
    <row r="144" ht="15.75" customHeight="1" s="45"/>
    <row r="145" ht="15.75" customHeight="1" s="45"/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2">
    <mergeCell ref="A2:Q2"/>
    <mergeCell ref="A1:Q1"/>
  </mergeCells>
  <conditionalFormatting sqref="O5:O19">
    <cfRule type="expression" priority="1" dxfId="4">
      <formula>$O5="LOW"</formula>
    </cfRule>
  </conditionalFormatting>
  <conditionalFormatting sqref="K5:K19">
    <cfRule type="cellIs" priority="2" operator="lessThan" dxfId="5">
      <formula>0</formula>
    </cfRule>
  </conditionalFormatting>
  <conditionalFormatting sqref="N5:N19">
    <cfRule type="cellIs" priority="3" operator="greaterThan" dxfId="6">
      <formula>0</formula>
    </cfRule>
  </conditionalFormatting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J145"/>
  <sheetViews>
    <sheetView showGridLines="0" workbookViewId="0">
      <selection activeCell="A1" sqref="A1"/>
    </sheetView>
  </sheetViews>
  <sheetFormatPr baseColWidth="8" defaultColWidth="14.43" defaultRowHeight="15" customHeight="1"/>
  <cols>
    <col width="16" customWidth="1" style="45" min="1" max="1"/>
    <col width="12" customWidth="1" style="45" min="2" max="2"/>
    <col width="22" customWidth="1" style="45" min="3" max="3"/>
    <col width="20" customWidth="1" style="45" min="4" max="4"/>
    <col width="16" customWidth="1" style="45" min="5" max="5"/>
    <col width="12" customWidth="1" style="45" min="6" max="6"/>
    <col width="14" customWidth="1" style="45" min="7" max="7"/>
    <col width="12" customWidth="1" style="45" min="8" max="8"/>
    <col width="10" customWidth="1" style="45" min="9" max="10"/>
    <col width="8.710000000000001" customWidth="1" style="45" min="11" max="26"/>
  </cols>
  <sheetData>
    <row r="1">
      <c r="A1" s="48" t="inlineStr">
        <is>
          <t>ALL SKUs</t>
        </is>
      </c>
    </row>
    <row r="2">
      <c r="A2" s="49" t="inlineStr">
        <is>
          <t>This sheet links every SKU from the category tabs into one filterable view.</t>
        </is>
      </c>
    </row>
    <row r="3">
      <c r="A3" s="22" t="inlineStr">
        <is>
          <t>Category</t>
        </is>
      </c>
      <c r="B3" s="22" t="inlineStr">
        <is>
          <t>SKU</t>
        </is>
      </c>
      <c r="C3" s="22" t="inlineStr">
        <is>
          <t>Item</t>
        </is>
      </c>
      <c r="D3" s="22" t="inlineStr">
        <is>
          <t>Color / Variant</t>
        </is>
      </c>
      <c r="E3" s="24" t="inlineStr">
        <is>
          <t>Tag</t>
        </is>
      </c>
      <c r="F3" s="24" t="inlineStr">
        <is>
          <t>Total Counted</t>
        </is>
      </c>
      <c r="G3" s="24" t="inlineStr">
        <is>
          <t>Original Inventory</t>
        </is>
      </c>
      <c r="H3" s="24" t="inlineStr">
        <is>
          <t>Variance</t>
        </is>
      </c>
      <c r="I3" s="24" t="inlineStr">
        <is>
          <t>Sold Today</t>
        </is>
      </c>
      <c r="J3" s="24" t="inlineStr">
        <is>
          <t>Low Stock</t>
        </is>
      </c>
    </row>
    <row r="4">
      <c r="A4" s="25" t="inlineStr">
        <is>
          <t>BEBESWEETS</t>
        </is>
      </c>
      <c r="B4" s="25">
        <f>BEBESWEETS!A5</f>
        <v/>
      </c>
      <c r="C4" s="25">
        <f>BEBESWEETS!B5</f>
        <v/>
      </c>
      <c r="D4" s="25">
        <f>BEBESWEETS!C5</f>
        <v/>
      </c>
      <c r="E4" s="44">
        <f>BEBESWEETS!D5</f>
        <v/>
      </c>
      <c r="F4" s="28">
        <f>BEBESWEETS!I5</f>
        <v/>
      </c>
      <c r="G4" s="28">
        <f>BEBESWEETS!J5</f>
        <v/>
      </c>
      <c r="H4" s="28">
        <f>BEBESWEETS!K5</f>
        <v/>
      </c>
      <c r="I4" s="28">
        <f>BEBESWEETS!N5</f>
        <v/>
      </c>
      <c r="J4" s="28">
        <f>BEBESWEETS!O5</f>
        <v/>
      </c>
    </row>
    <row r="5">
      <c r="A5" s="25" t="inlineStr">
        <is>
          <t>BEBESWEETS</t>
        </is>
      </c>
      <c r="B5" s="25">
        <f>BEBESWEETS!A6</f>
        <v/>
      </c>
      <c r="C5" s="25">
        <f>BEBESWEETS!B6</f>
        <v/>
      </c>
      <c r="D5" s="25">
        <f>BEBESWEETS!C6</f>
        <v/>
      </c>
      <c r="E5" s="44">
        <f>BEBESWEETS!D6</f>
        <v/>
      </c>
      <c r="F5" s="28">
        <f>BEBESWEETS!I6</f>
        <v/>
      </c>
      <c r="G5" s="28">
        <f>BEBESWEETS!J6</f>
        <v/>
      </c>
      <c r="H5" s="28">
        <f>BEBESWEETS!K6</f>
        <v/>
      </c>
      <c r="I5" s="28">
        <f>BEBESWEETS!N6</f>
        <v/>
      </c>
      <c r="J5" s="28">
        <f>BEBESWEETS!O6</f>
        <v/>
      </c>
    </row>
    <row r="6">
      <c r="A6" s="25" t="inlineStr">
        <is>
          <t>BEBESWEETS</t>
        </is>
      </c>
      <c r="B6" s="25">
        <f>BEBESWEETS!A7</f>
        <v/>
      </c>
      <c r="C6" s="25">
        <f>BEBESWEETS!B7</f>
        <v/>
      </c>
      <c r="D6" s="25">
        <f>BEBESWEETS!C7</f>
        <v/>
      </c>
      <c r="E6" s="44">
        <f>BEBESWEETS!D7</f>
        <v/>
      </c>
      <c r="F6" s="28">
        <f>BEBESWEETS!I7</f>
        <v/>
      </c>
      <c r="G6" s="28">
        <f>BEBESWEETS!J7</f>
        <v/>
      </c>
      <c r="H6" s="28">
        <f>BEBESWEETS!K7</f>
        <v/>
      </c>
      <c r="I6" s="28">
        <f>BEBESWEETS!N7</f>
        <v/>
      </c>
      <c r="J6" s="28">
        <f>BEBESWEETS!O7</f>
        <v/>
      </c>
    </row>
    <row r="7">
      <c r="A7" s="25" t="inlineStr">
        <is>
          <t>BEBESWEETS</t>
        </is>
      </c>
      <c r="B7" s="25">
        <f>BEBESWEETS!A8</f>
        <v/>
      </c>
      <c r="C7" s="25">
        <f>BEBESWEETS!B8</f>
        <v/>
      </c>
      <c r="D7" s="25">
        <f>BEBESWEETS!C8</f>
        <v/>
      </c>
      <c r="E7" s="44">
        <f>BEBESWEETS!D8</f>
        <v/>
      </c>
      <c r="F7" s="28">
        <f>BEBESWEETS!I8</f>
        <v/>
      </c>
      <c r="G7" s="28">
        <f>BEBESWEETS!J8</f>
        <v/>
      </c>
      <c r="H7" s="28">
        <f>BEBESWEETS!K8</f>
        <v/>
      </c>
      <c r="I7" s="28">
        <f>BEBESWEETS!N8</f>
        <v/>
      </c>
      <c r="J7" s="28">
        <f>BEBESWEETS!O8</f>
        <v/>
      </c>
    </row>
    <row r="8">
      <c r="A8" s="25" t="inlineStr">
        <is>
          <t>BEBESWEETS</t>
        </is>
      </c>
      <c r="B8" s="25">
        <f>BEBESWEETS!A9</f>
        <v/>
      </c>
      <c r="C8" s="25">
        <f>BEBESWEETS!B9</f>
        <v/>
      </c>
      <c r="D8" s="25">
        <f>BEBESWEETS!C9</f>
        <v/>
      </c>
      <c r="E8" s="44">
        <f>BEBESWEETS!D9</f>
        <v/>
      </c>
      <c r="F8" s="28">
        <f>BEBESWEETS!I9</f>
        <v/>
      </c>
      <c r="G8" s="28">
        <f>BEBESWEETS!J9</f>
        <v/>
      </c>
      <c r="H8" s="28">
        <f>BEBESWEETS!K9</f>
        <v/>
      </c>
      <c r="I8" s="28">
        <f>BEBESWEETS!N9</f>
        <v/>
      </c>
      <c r="J8" s="28">
        <f>BEBESWEETS!O9</f>
        <v/>
      </c>
    </row>
    <row r="9">
      <c r="A9" s="25" t="inlineStr">
        <is>
          <t>BEBESWEETS</t>
        </is>
      </c>
      <c r="B9" s="25">
        <f>BEBESWEETS!A10</f>
        <v/>
      </c>
      <c r="C9" s="25">
        <f>BEBESWEETS!B10</f>
        <v/>
      </c>
      <c r="D9" s="25">
        <f>BEBESWEETS!C10</f>
        <v/>
      </c>
      <c r="E9" s="44">
        <f>BEBESWEETS!D10</f>
        <v/>
      </c>
      <c r="F9" s="28">
        <f>BEBESWEETS!I10</f>
        <v/>
      </c>
      <c r="G9" s="28">
        <f>BEBESWEETS!J10</f>
        <v/>
      </c>
      <c r="H9" s="28">
        <f>BEBESWEETS!K10</f>
        <v/>
      </c>
      <c r="I9" s="28">
        <f>BEBESWEETS!N10</f>
        <v/>
      </c>
      <c r="J9" s="28">
        <f>BEBESWEETS!O10</f>
        <v/>
      </c>
    </row>
    <row r="10">
      <c r="A10" s="25" t="inlineStr">
        <is>
          <t>BEBESWEETS</t>
        </is>
      </c>
      <c r="B10" s="25">
        <f>BEBESWEETS!A11</f>
        <v/>
      </c>
      <c r="C10" s="25">
        <f>BEBESWEETS!B11</f>
        <v/>
      </c>
      <c r="D10" s="25">
        <f>BEBESWEETS!C11</f>
        <v/>
      </c>
      <c r="E10" s="44">
        <f>BEBESWEETS!D11</f>
        <v/>
      </c>
      <c r="F10" s="28">
        <f>BEBESWEETS!I11</f>
        <v/>
      </c>
      <c r="G10" s="28">
        <f>BEBESWEETS!J11</f>
        <v/>
      </c>
      <c r="H10" s="28">
        <f>BEBESWEETS!K11</f>
        <v/>
      </c>
      <c r="I10" s="28">
        <f>BEBESWEETS!N11</f>
        <v/>
      </c>
      <c r="J10" s="28">
        <f>BEBESWEETS!O11</f>
        <v/>
      </c>
    </row>
    <row r="11">
      <c r="A11" s="25" t="inlineStr">
        <is>
          <t>BEBESWEETS</t>
        </is>
      </c>
      <c r="B11" s="25">
        <f>BEBESWEETS!A12</f>
        <v/>
      </c>
      <c r="C11" s="25">
        <f>BEBESWEETS!B12</f>
        <v/>
      </c>
      <c r="D11" s="25">
        <f>BEBESWEETS!C12</f>
        <v/>
      </c>
      <c r="E11" s="44">
        <f>BEBESWEETS!D12</f>
        <v/>
      </c>
      <c r="F11" s="28">
        <f>BEBESWEETS!I12</f>
        <v/>
      </c>
      <c r="G11" s="28">
        <f>BEBESWEETS!J12</f>
        <v/>
      </c>
      <c r="H11" s="28">
        <f>BEBESWEETS!K12</f>
        <v/>
      </c>
      <c r="I11" s="28">
        <f>BEBESWEETS!N12</f>
        <v/>
      </c>
      <c r="J11" s="28">
        <f>BEBESWEETS!O12</f>
        <v/>
      </c>
    </row>
    <row r="12">
      <c r="A12" s="25" t="inlineStr">
        <is>
          <t>BEBESWEETS</t>
        </is>
      </c>
      <c r="B12" s="25">
        <f>BEBESWEETS!A13</f>
        <v/>
      </c>
      <c r="C12" s="25">
        <f>BEBESWEETS!B13</f>
        <v/>
      </c>
      <c r="D12" s="25">
        <f>BEBESWEETS!C13</f>
        <v/>
      </c>
      <c r="E12" s="44">
        <f>BEBESWEETS!D13</f>
        <v/>
      </c>
      <c r="F12" s="28">
        <f>BEBESWEETS!I13</f>
        <v/>
      </c>
      <c r="G12" s="28">
        <f>BEBESWEETS!J13</f>
        <v/>
      </c>
      <c r="H12" s="28">
        <f>BEBESWEETS!K13</f>
        <v/>
      </c>
      <c r="I12" s="28">
        <f>BEBESWEETS!N13</f>
        <v/>
      </c>
      <c r="J12" s="28">
        <f>BEBESWEETS!O13</f>
        <v/>
      </c>
    </row>
    <row r="13">
      <c r="A13" s="25" t="inlineStr">
        <is>
          <t>BEBESWEETS</t>
        </is>
      </c>
      <c r="B13" s="25">
        <f>BEBESWEETS!A14</f>
        <v/>
      </c>
      <c r="C13" s="25">
        <f>BEBESWEETS!B14</f>
        <v/>
      </c>
      <c r="D13" s="25">
        <f>BEBESWEETS!C14</f>
        <v/>
      </c>
      <c r="E13" s="44">
        <f>BEBESWEETS!D14</f>
        <v/>
      </c>
      <c r="F13" s="28">
        <f>BEBESWEETS!I14</f>
        <v/>
      </c>
      <c r="G13" s="28">
        <f>BEBESWEETS!J14</f>
        <v/>
      </c>
      <c r="H13" s="28">
        <f>BEBESWEETS!K14</f>
        <v/>
      </c>
      <c r="I13" s="28">
        <f>BEBESWEETS!N14</f>
        <v/>
      </c>
      <c r="J13" s="28">
        <f>BEBESWEETS!O14</f>
        <v/>
      </c>
    </row>
    <row r="14">
      <c r="A14" s="25" t="inlineStr">
        <is>
          <t>BEBESWEETS</t>
        </is>
      </c>
      <c r="B14" s="25">
        <f>BEBESWEETS!A15</f>
        <v/>
      </c>
      <c r="C14" s="25">
        <f>BEBESWEETS!B15</f>
        <v/>
      </c>
      <c r="D14" s="25">
        <f>BEBESWEETS!C15</f>
        <v/>
      </c>
      <c r="E14" s="44">
        <f>BEBESWEETS!D15</f>
        <v/>
      </c>
      <c r="F14" s="28">
        <f>BEBESWEETS!I15</f>
        <v/>
      </c>
      <c r="G14" s="28">
        <f>BEBESWEETS!J15</f>
        <v/>
      </c>
      <c r="H14" s="28">
        <f>BEBESWEETS!K15</f>
        <v/>
      </c>
      <c r="I14" s="28">
        <f>BEBESWEETS!N15</f>
        <v/>
      </c>
      <c r="J14" s="28">
        <f>BEBESWEETS!O15</f>
        <v/>
      </c>
    </row>
    <row r="15">
      <c r="A15" s="25" t="inlineStr">
        <is>
          <t>BEBESWEETS</t>
        </is>
      </c>
      <c r="B15" s="25">
        <f>BEBESWEETS!A16</f>
        <v/>
      </c>
      <c r="C15" s="25">
        <f>BEBESWEETS!B16</f>
        <v/>
      </c>
      <c r="D15" s="25">
        <f>BEBESWEETS!C16</f>
        <v/>
      </c>
      <c r="E15" s="44">
        <f>BEBESWEETS!D16</f>
        <v/>
      </c>
      <c r="F15" s="28">
        <f>BEBESWEETS!I16</f>
        <v/>
      </c>
      <c r="G15" s="28">
        <f>BEBESWEETS!J16</f>
        <v/>
      </c>
      <c r="H15" s="28">
        <f>BEBESWEETS!K16</f>
        <v/>
      </c>
      <c r="I15" s="28">
        <f>BEBESWEETS!N16</f>
        <v/>
      </c>
      <c r="J15" s="28">
        <f>BEBESWEETS!O16</f>
        <v/>
      </c>
    </row>
    <row r="16">
      <c r="A16" s="25" t="inlineStr">
        <is>
          <t>BEBESWEETS</t>
        </is>
      </c>
      <c r="B16" s="25">
        <f>BEBESWEETS!A17</f>
        <v/>
      </c>
      <c r="C16" s="25">
        <f>BEBESWEETS!B17</f>
        <v/>
      </c>
      <c r="D16" s="25">
        <f>BEBESWEETS!C17</f>
        <v/>
      </c>
      <c r="E16" s="44">
        <f>BEBESWEETS!D17</f>
        <v/>
      </c>
      <c r="F16" s="28">
        <f>BEBESWEETS!I17</f>
        <v/>
      </c>
      <c r="G16" s="28">
        <f>BEBESWEETS!J17</f>
        <v/>
      </c>
      <c r="H16" s="28">
        <f>BEBESWEETS!K17</f>
        <v/>
      </c>
      <c r="I16" s="28">
        <f>BEBESWEETS!N17</f>
        <v/>
      </c>
      <c r="J16" s="28">
        <f>BEBESWEETS!O17</f>
        <v/>
      </c>
    </row>
    <row r="17">
      <c r="A17" s="25" t="inlineStr">
        <is>
          <t>BEBESWEETS</t>
        </is>
      </c>
      <c r="B17" s="25">
        <f>BEBESWEETS!A18</f>
        <v/>
      </c>
      <c r="C17" s="25">
        <f>BEBESWEETS!B18</f>
        <v/>
      </c>
      <c r="D17" s="25">
        <f>BEBESWEETS!C18</f>
        <v/>
      </c>
      <c r="E17" s="44">
        <f>BEBESWEETS!D18</f>
        <v/>
      </c>
      <c r="F17" s="28">
        <f>BEBESWEETS!I18</f>
        <v/>
      </c>
      <c r="G17" s="28">
        <f>BEBESWEETS!J18</f>
        <v/>
      </c>
      <c r="H17" s="28">
        <f>BEBESWEETS!K18</f>
        <v/>
      </c>
      <c r="I17" s="28">
        <f>BEBESWEETS!N18</f>
        <v/>
      </c>
      <c r="J17" s="28">
        <f>BEBESWEETS!O18</f>
        <v/>
      </c>
    </row>
    <row r="18">
      <c r="A18" s="25" t="inlineStr">
        <is>
          <t>BEBESWEETS</t>
        </is>
      </c>
      <c r="B18" s="25">
        <f>BEBESWEETS!A19</f>
        <v/>
      </c>
      <c r="C18" s="25">
        <f>BEBESWEETS!B19</f>
        <v/>
      </c>
      <c r="D18" s="25">
        <f>BEBESWEETS!C19</f>
        <v/>
      </c>
      <c r="E18" s="44">
        <f>BEBESWEETS!D19</f>
        <v/>
      </c>
      <c r="F18" s="28">
        <f>BEBESWEETS!I19</f>
        <v/>
      </c>
      <c r="G18" s="28">
        <f>BEBESWEETS!J19</f>
        <v/>
      </c>
      <c r="H18" s="28">
        <f>BEBESWEETS!K19</f>
        <v/>
      </c>
      <c r="I18" s="28">
        <f>BEBESWEETS!N19</f>
        <v/>
      </c>
      <c r="J18" s="28">
        <f>BEBESWEETS!O19</f>
        <v/>
      </c>
    </row>
    <row r="19">
      <c r="A19" s="25" t="inlineStr">
        <is>
          <t>BEBESWEETS</t>
        </is>
      </c>
      <c r="B19" s="25">
        <f>BEBESWEETS!A20</f>
        <v/>
      </c>
      <c r="C19" s="25">
        <f>BEBESWEETS!B20</f>
        <v/>
      </c>
      <c r="D19" s="25">
        <f>BEBESWEETS!C20</f>
        <v/>
      </c>
      <c r="E19" s="44">
        <f>BEBESWEETS!D20</f>
        <v/>
      </c>
      <c r="F19" s="28">
        <f>BEBESWEETS!I20</f>
        <v/>
      </c>
      <c r="G19" s="28">
        <f>BEBESWEETS!J20</f>
        <v/>
      </c>
      <c r="H19" s="28">
        <f>BEBESWEETS!K20</f>
        <v/>
      </c>
      <c r="I19" s="28">
        <f>BEBESWEETS!N20</f>
        <v/>
      </c>
      <c r="J19" s="28">
        <f>BEBESWEETS!O20</f>
        <v/>
      </c>
    </row>
    <row r="20">
      <c r="A20" s="25" t="inlineStr">
        <is>
          <t>BEBESWEETS</t>
        </is>
      </c>
      <c r="B20" s="25">
        <f>BEBESWEETS!A21</f>
        <v/>
      </c>
      <c r="C20" s="25">
        <f>BEBESWEETS!B21</f>
        <v/>
      </c>
      <c r="D20" s="25">
        <f>BEBESWEETS!C21</f>
        <v/>
      </c>
      <c r="E20" s="44">
        <f>BEBESWEETS!D21</f>
        <v/>
      </c>
      <c r="F20" s="28">
        <f>BEBESWEETS!I21</f>
        <v/>
      </c>
      <c r="G20" s="28">
        <f>BEBESWEETS!J21</f>
        <v/>
      </c>
      <c r="H20" s="28">
        <f>BEBESWEETS!K21</f>
        <v/>
      </c>
      <c r="I20" s="28">
        <f>BEBESWEETS!N21</f>
        <v/>
      </c>
      <c r="J20" s="28">
        <f>BEBESWEETS!O21</f>
        <v/>
      </c>
    </row>
    <row r="21" ht="15.75" customHeight="1" s="45">
      <c r="A21" s="25" t="inlineStr">
        <is>
          <t>BEBESWEETS</t>
        </is>
      </c>
      <c r="B21" s="25">
        <f>BEBESWEETS!A22</f>
        <v/>
      </c>
      <c r="C21" s="25">
        <f>BEBESWEETS!B22</f>
        <v/>
      </c>
      <c r="D21" s="25">
        <f>BEBESWEETS!C22</f>
        <v/>
      </c>
      <c r="E21" s="44">
        <f>BEBESWEETS!D22</f>
        <v/>
      </c>
      <c r="F21" s="28">
        <f>BEBESWEETS!I22</f>
        <v/>
      </c>
      <c r="G21" s="28">
        <f>BEBESWEETS!J22</f>
        <v/>
      </c>
      <c r="H21" s="28">
        <f>BEBESWEETS!K22</f>
        <v/>
      </c>
      <c r="I21" s="28">
        <f>BEBESWEETS!N22</f>
        <v/>
      </c>
      <c r="J21" s="28">
        <f>BEBESWEETS!O22</f>
        <v/>
      </c>
    </row>
    <row r="22" ht="15.75" customHeight="1" s="45">
      <c r="A22" s="25" t="inlineStr">
        <is>
          <t>BEBESWEETS</t>
        </is>
      </c>
      <c r="B22" s="25">
        <f>BEBESWEETS!A23</f>
        <v/>
      </c>
      <c r="C22" s="25">
        <f>BEBESWEETS!B23</f>
        <v/>
      </c>
      <c r="D22" s="25">
        <f>BEBESWEETS!C23</f>
        <v/>
      </c>
      <c r="E22" s="44">
        <f>BEBESWEETS!D23</f>
        <v/>
      </c>
      <c r="F22" s="28">
        <f>BEBESWEETS!I23</f>
        <v/>
      </c>
      <c r="G22" s="28">
        <f>BEBESWEETS!J23</f>
        <v/>
      </c>
      <c r="H22" s="28">
        <f>BEBESWEETS!K23</f>
        <v/>
      </c>
      <c r="I22" s="28">
        <f>BEBESWEETS!N23</f>
        <v/>
      </c>
      <c r="J22" s="28">
        <f>BEBESWEETS!O23</f>
        <v/>
      </c>
    </row>
    <row r="23" ht="15.75" customHeight="1" s="45">
      <c r="A23" s="25" t="inlineStr">
        <is>
          <t>BEBESWEETS</t>
        </is>
      </c>
      <c r="B23" s="25">
        <f>BEBESWEETS!A24</f>
        <v/>
      </c>
      <c r="C23" s="25">
        <f>BEBESWEETS!B24</f>
        <v/>
      </c>
      <c r="D23" s="25">
        <f>BEBESWEETS!C24</f>
        <v/>
      </c>
      <c r="E23" s="44">
        <f>BEBESWEETS!D24</f>
        <v/>
      </c>
      <c r="F23" s="28">
        <f>BEBESWEETS!I24</f>
        <v/>
      </c>
      <c r="G23" s="28">
        <f>BEBESWEETS!J24</f>
        <v/>
      </c>
      <c r="H23" s="28">
        <f>BEBESWEETS!K24</f>
        <v/>
      </c>
      <c r="I23" s="28">
        <f>BEBESWEETS!N24</f>
        <v/>
      </c>
      <c r="J23" s="28">
        <f>BEBESWEETS!O24</f>
        <v/>
      </c>
    </row>
    <row r="24" ht="15.75" customHeight="1" s="45">
      <c r="A24" s="25" t="inlineStr">
        <is>
          <t>BEBESWEETS</t>
        </is>
      </c>
      <c r="B24" s="25">
        <f>BEBESWEETS!A25</f>
        <v/>
      </c>
      <c r="C24" s="25">
        <f>BEBESWEETS!B25</f>
        <v/>
      </c>
      <c r="D24" s="25">
        <f>BEBESWEETS!C25</f>
        <v/>
      </c>
      <c r="E24" s="44">
        <f>BEBESWEETS!D25</f>
        <v/>
      </c>
      <c r="F24" s="28">
        <f>BEBESWEETS!I25</f>
        <v/>
      </c>
      <c r="G24" s="28">
        <f>BEBESWEETS!J25</f>
        <v/>
      </c>
      <c r="H24" s="28">
        <f>BEBESWEETS!K25</f>
        <v/>
      </c>
      <c r="I24" s="28">
        <f>BEBESWEETS!N25</f>
        <v/>
      </c>
      <c r="J24" s="28">
        <f>BEBESWEETS!O25</f>
        <v/>
      </c>
    </row>
    <row r="25" ht="15.75" customHeight="1" s="45">
      <c r="A25" s="25" t="inlineStr">
        <is>
          <t>BEBESWEETS</t>
        </is>
      </c>
      <c r="B25" s="25">
        <f>BEBESWEETS!A26</f>
        <v/>
      </c>
      <c r="C25" s="25">
        <f>BEBESWEETS!B26</f>
        <v/>
      </c>
      <c r="D25" s="25">
        <f>BEBESWEETS!C26</f>
        <v/>
      </c>
      <c r="E25" s="44">
        <f>BEBESWEETS!D26</f>
        <v/>
      </c>
      <c r="F25" s="28">
        <f>BEBESWEETS!I26</f>
        <v/>
      </c>
      <c r="G25" s="28">
        <f>BEBESWEETS!J26</f>
        <v/>
      </c>
      <c r="H25" s="28">
        <f>BEBESWEETS!K26</f>
        <v/>
      </c>
      <c r="I25" s="28">
        <f>BEBESWEETS!N26</f>
        <v/>
      </c>
      <c r="J25" s="28">
        <f>BEBESWEETS!O26</f>
        <v/>
      </c>
    </row>
    <row r="26" ht="15.75" customHeight="1" s="45">
      <c r="A26" s="25" t="inlineStr">
        <is>
          <t>BEBESWEETS</t>
        </is>
      </c>
      <c r="B26" s="25">
        <f>BEBESWEETS!A27</f>
        <v/>
      </c>
      <c r="C26" s="25">
        <f>BEBESWEETS!B27</f>
        <v/>
      </c>
      <c r="D26" s="25">
        <f>BEBESWEETS!C27</f>
        <v/>
      </c>
      <c r="E26" s="44">
        <f>BEBESWEETS!D27</f>
        <v/>
      </c>
      <c r="F26" s="28">
        <f>BEBESWEETS!I27</f>
        <v/>
      </c>
      <c r="G26" s="28">
        <f>BEBESWEETS!J27</f>
        <v/>
      </c>
      <c r="H26" s="28">
        <f>BEBESWEETS!K27</f>
        <v/>
      </c>
      <c r="I26" s="28">
        <f>BEBESWEETS!N27</f>
        <v/>
      </c>
      <c r="J26" s="28">
        <f>BEBESWEETS!O27</f>
        <v/>
      </c>
    </row>
    <row r="27" ht="15.75" customHeight="1" s="45">
      <c r="A27" s="25" t="inlineStr">
        <is>
          <t>BEBESWEETS</t>
        </is>
      </c>
      <c r="B27" s="25">
        <f>BEBESWEETS!A28</f>
        <v/>
      </c>
      <c r="C27" s="25">
        <f>BEBESWEETS!B28</f>
        <v/>
      </c>
      <c r="D27" s="25">
        <f>BEBESWEETS!C28</f>
        <v/>
      </c>
      <c r="E27" s="44">
        <f>BEBESWEETS!D28</f>
        <v/>
      </c>
      <c r="F27" s="28">
        <f>BEBESWEETS!I28</f>
        <v/>
      </c>
      <c r="G27" s="28">
        <f>BEBESWEETS!J28</f>
        <v/>
      </c>
      <c r="H27" s="28">
        <f>BEBESWEETS!K28</f>
        <v/>
      </c>
      <c r="I27" s="28">
        <f>BEBESWEETS!N28</f>
        <v/>
      </c>
      <c r="J27" s="28">
        <f>BEBESWEETS!O28</f>
        <v/>
      </c>
    </row>
    <row r="28" ht="15.75" customHeight="1" s="45">
      <c r="A28" s="25" t="inlineStr">
        <is>
          <t>BEBESWEETS</t>
        </is>
      </c>
      <c r="B28" s="25">
        <f>BEBESWEETS!A29</f>
        <v/>
      </c>
      <c r="C28" s="25">
        <f>BEBESWEETS!B29</f>
        <v/>
      </c>
      <c r="D28" s="25">
        <f>BEBESWEETS!C29</f>
        <v/>
      </c>
      <c r="E28" s="44">
        <f>BEBESWEETS!D29</f>
        <v/>
      </c>
      <c r="F28" s="28">
        <f>BEBESWEETS!I29</f>
        <v/>
      </c>
      <c r="G28" s="28">
        <f>BEBESWEETS!J29</f>
        <v/>
      </c>
      <c r="H28" s="28">
        <f>BEBESWEETS!K29</f>
        <v/>
      </c>
      <c r="I28" s="28">
        <f>BEBESWEETS!N29</f>
        <v/>
      </c>
      <c r="J28" s="28">
        <f>BEBESWEETS!O29</f>
        <v/>
      </c>
    </row>
    <row r="29" ht="15.75" customHeight="1" s="45">
      <c r="A29" s="25" t="inlineStr">
        <is>
          <t>BEBENTO</t>
        </is>
      </c>
      <c r="B29" s="25">
        <f>BEBENTO!A5</f>
        <v/>
      </c>
      <c r="C29" s="25">
        <f>BEBENTO!B5</f>
        <v/>
      </c>
      <c r="D29" s="25">
        <f>BEBENTO!C5</f>
        <v/>
      </c>
      <c r="E29" s="44">
        <f>BEBENTO!D5</f>
        <v/>
      </c>
      <c r="F29" s="28">
        <f>BEBENTO!I5</f>
        <v/>
      </c>
      <c r="G29" s="28">
        <f>BEBENTO!J5</f>
        <v/>
      </c>
      <c r="H29" s="28">
        <f>BEBENTO!K5</f>
        <v/>
      </c>
      <c r="I29" s="28">
        <f>BEBENTO!N5</f>
        <v/>
      </c>
      <c r="J29" s="28">
        <f>BEBENTO!O5</f>
        <v/>
      </c>
    </row>
    <row r="30" ht="15.75" customHeight="1" s="45">
      <c r="A30" s="25" t="inlineStr">
        <is>
          <t>BEBENTO</t>
        </is>
      </c>
      <c r="B30" s="25">
        <f>BEBENTO!A6</f>
        <v/>
      </c>
      <c r="C30" s="25">
        <f>BEBENTO!B6</f>
        <v/>
      </c>
      <c r="D30" s="25">
        <f>BEBENTO!C6</f>
        <v/>
      </c>
      <c r="E30" s="44">
        <f>BEBENTO!D6</f>
        <v/>
      </c>
      <c r="F30" s="28">
        <f>BEBENTO!I6</f>
        <v/>
      </c>
      <c r="G30" s="28">
        <f>BEBENTO!J6</f>
        <v/>
      </c>
      <c r="H30" s="28">
        <f>BEBENTO!K6</f>
        <v/>
      </c>
      <c r="I30" s="28">
        <f>BEBENTO!N6</f>
        <v/>
      </c>
      <c r="J30" s="28">
        <f>BEBENTO!O6</f>
        <v/>
      </c>
    </row>
    <row r="31" ht="15.75" customHeight="1" s="45">
      <c r="A31" s="25" t="inlineStr">
        <is>
          <t>BEBENTO</t>
        </is>
      </c>
      <c r="B31" s="25">
        <f>BEBENTO!A7</f>
        <v/>
      </c>
      <c r="C31" s="25">
        <f>BEBENTO!B7</f>
        <v/>
      </c>
      <c r="D31" s="25">
        <f>BEBENTO!C7</f>
        <v/>
      </c>
      <c r="E31" s="44">
        <f>BEBENTO!D7</f>
        <v/>
      </c>
      <c r="F31" s="28">
        <f>BEBENTO!I7</f>
        <v/>
      </c>
      <c r="G31" s="28">
        <f>BEBENTO!J7</f>
        <v/>
      </c>
      <c r="H31" s="28">
        <f>BEBENTO!K7</f>
        <v/>
      </c>
      <c r="I31" s="28">
        <f>BEBENTO!N7</f>
        <v/>
      </c>
      <c r="J31" s="28">
        <f>BEBENTO!O7</f>
        <v/>
      </c>
    </row>
    <row r="32" ht="15.75" customHeight="1" s="45">
      <c r="A32" s="25" t="inlineStr">
        <is>
          <t>BEBENTO</t>
        </is>
      </c>
      <c r="B32" s="25">
        <f>BEBENTO!A8</f>
        <v/>
      </c>
      <c r="C32" s="25">
        <f>BEBENTO!B8</f>
        <v/>
      </c>
      <c r="D32" s="25">
        <f>BEBENTO!C8</f>
        <v/>
      </c>
      <c r="E32" s="44">
        <f>BEBENTO!D8</f>
        <v/>
      </c>
      <c r="F32" s="28">
        <f>BEBENTO!I8</f>
        <v/>
      </c>
      <c r="G32" s="28">
        <f>BEBENTO!J8</f>
        <v/>
      </c>
      <c r="H32" s="28">
        <f>BEBENTO!K8</f>
        <v/>
      </c>
      <c r="I32" s="28">
        <f>BEBENTO!N8</f>
        <v/>
      </c>
      <c r="J32" s="28">
        <f>BEBENTO!O8</f>
        <v/>
      </c>
    </row>
    <row r="33" ht="15.75" customHeight="1" s="45">
      <c r="A33" s="25" t="inlineStr">
        <is>
          <t>BEBENTO</t>
        </is>
      </c>
      <c r="B33" s="25">
        <f>BEBENTO!A9</f>
        <v/>
      </c>
      <c r="C33" s="25">
        <f>BEBENTO!B9</f>
        <v/>
      </c>
      <c r="D33" s="25">
        <f>BEBENTO!C9</f>
        <v/>
      </c>
      <c r="E33" s="44">
        <f>BEBENTO!D9</f>
        <v/>
      </c>
      <c r="F33" s="28">
        <f>BEBENTO!I9</f>
        <v/>
      </c>
      <c r="G33" s="28">
        <f>BEBENTO!J9</f>
        <v/>
      </c>
      <c r="H33" s="28">
        <f>BEBENTO!K9</f>
        <v/>
      </c>
      <c r="I33" s="28">
        <f>BEBENTO!N9</f>
        <v/>
      </c>
      <c r="J33" s="28">
        <f>BEBENTO!O9</f>
        <v/>
      </c>
    </row>
    <row r="34" ht="15.75" customHeight="1" s="45">
      <c r="A34" s="25" t="inlineStr">
        <is>
          <t>BEBENTO</t>
        </is>
      </c>
      <c r="B34" s="25">
        <f>BEBENTO!A10</f>
        <v/>
      </c>
      <c r="C34" s="25">
        <f>BEBENTO!B10</f>
        <v/>
      </c>
      <c r="D34" s="25">
        <f>BEBENTO!C10</f>
        <v/>
      </c>
      <c r="E34" s="44">
        <f>BEBENTO!D10</f>
        <v/>
      </c>
      <c r="F34" s="28">
        <f>BEBENTO!I10</f>
        <v/>
      </c>
      <c r="G34" s="28">
        <f>BEBENTO!J10</f>
        <v/>
      </c>
      <c r="H34" s="28">
        <f>BEBENTO!K10</f>
        <v/>
      </c>
      <c r="I34" s="28">
        <f>BEBENTO!N10</f>
        <v/>
      </c>
      <c r="J34" s="28">
        <f>BEBENTO!O10</f>
        <v/>
      </c>
    </row>
    <row r="35" ht="15.75" customHeight="1" s="45">
      <c r="A35" s="25" t="inlineStr">
        <is>
          <t>BEBENTO</t>
        </is>
      </c>
      <c r="B35" s="25">
        <f>BEBENTO!A11</f>
        <v/>
      </c>
      <c r="C35" s="25">
        <f>BEBENTO!B11</f>
        <v/>
      </c>
      <c r="D35" s="25">
        <f>BEBENTO!C11</f>
        <v/>
      </c>
      <c r="E35" s="44">
        <f>BEBENTO!D11</f>
        <v/>
      </c>
      <c r="F35" s="28">
        <f>BEBENTO!I11</f>
        <v/>
      </c>
      <c r="G35" s="28">
        <f>BEBENTO!J11</f>
        <v/>
      </c>
      <c r="H35" s="28">
        <f>BEBENTO!K11</f>
        <v/>
      </c>
      <c r="I35" s="28">
        <f>BEBENTO!N11</f>
        <v/>
      </c>
      <c r="J35" s="28">
        <f>BEBENTO!O11</f>
        <v/>
      </c>
    </row>
    <row r="36" ht="15.75" customHeight="1" s="45">
      <c r="A36" s="25" t="inlineStr">
        <is>
          <t>BEBENTO</t>
        </is>
      </c>
      <c r="B36" s="25">
        <f>BEBENTO!A12</f>
        <v/>
      </c>
      <c r="C36" s="25">
        <f>BEBENTO!B12</f>
        <v/>
      </c>
      <c r="D36" s="25">
        <f>BEBENTO!C12</f>
        <v/>
      </c>
      <c r="E36" s="44">
        <f>BEBENTO!D12</f>
        <v/>
      </c>
      <c r="F36" s="28">
        <f>BEBENTO!I12</f>
        <v/>
      </c>
      <c r="G36" s="28">
        <f>BEBENTO!J12</f>
        <v/>
      </c>
      <c r="H36" s="28">
        <f>BEBENTO!K12</f>
        <v/>
      </c>
      <c r="I36" s="28">
        <f>BEBENTO!N12</f>
        <v/>
      </c>
      <c r="J36" s="28">
        <f>BEBENTO!O12</f>
        <v/>
      </c>
    </row>
    <row r="37" ht="15.75" customHeight="1" s="45">
      <c r="A37" s="25" t="inlineStr">
        <is>
          <t>BEBENTO</t>
        </is>
      </c>
      <c r="B37" s="25">
        <f>BEBENTO!A13</f>
        <v/>
      </c>
      <c r="C37" s="25">
        <f>BEBENTO!B13</f>
        <v/>
      </c>
      <c r="D37" s="25">
        <f>BEBENTO!C13</f>
        <v/>
      </c>
      <c r="E37" s="44">
        <f>BEBENTO!D13</f>
        <v/>
      </c>
      <c r="F37" s="28">
        <f>BEBENTO!I13</f>
        <v/>
      </c>
      <c r="G37" s="28">
        <f>BEBENTO!J13</f>
        <v/>
      </c>
      <c r="H37" s="28">
        <f>BEBENTO!K13</f>
        <v/>
      </c>
      <c r="I37" s="28">
        <f>BEBENTO!N13</f>
        <v/>
      </c>
      <c r="J37" s="28">
        <f>BEBENTO!O13</f>
        <v/>
      </c>
    </row>
    <row r="38" ht="15.75" customHeight="1" s="45">
      <c r="A38" s="25" t="inlineStr">
        <is>
          <t>BEBENTO</t>
        </is>
      </c>
      <c r="B38" s="25">
        <f>BEBENTO!A14</f>
        <v/>
      </c>
      <c r="C38" s="25">
        <f>BEBENTO!B14</f>
        <v/>
      </c>
      <c r="D38" s="25">
        <f>BEBENTO!C14</f>
        <v/>
      </c>
      <c r="E38" s="44">
        <f>BEBENTO!D14</f>
        <v/>
      </c>
      <c r="F38" s="28">
        <f>BEBENTO!I14</f>
        <v/>
      </c>
      <c r="G38" s="28">
        <f>BEBENTO!J14</f>
        <v/>
      </c>
      <c r="H38" s="28">
        <f>BEBENTO!K14</f>
        <v/>
      </c>
      <c r="I38" s="28">
        <f>BEBENTO!N14</f>
        <v/>
      </c>
      <c r="J38" s="28">
        <f>BEBENTO!O14</f>
        <v/>
      </c>
    </row>
    <row r="39" ht="15.75" customHeight="1" s="45">
      <c r="A39" s="25" t="inlineStr">
        <is>
          <t>BEBENTO</t>
        </is>
      </c>
      <c r="B39" s="25">
        <f>BEBENTO!A15</f>
        <v/>
      </c>
      <c r="C39" s="25">
        <f>BEBENTO!B15</f>
        <v/>
      </c>
      <c r="D39" s="25">
        <f>BEBENTO!C15</f>
        <v/>
      </c>
      <c r="E39" s="44">
        <f>BEBENTO!D15</f>
        <v/>
      </c>
      <c r="F39" s="28">
        <f>BEBENTO!I15</f>
        <v/>
      </c>
      <c r="G39" s="28">
        <f>BEBENTO!J15</f>
        <v/>
      </c>
      <c r="H39" s="28">
        <f>BEBENTO!K15</f>
        <v/>
      </c>
      <c r="I39" s="28">
        <f>BEBENTO!N15</f>
        <v/>
      </c>
      <c r="J39" s="28">
        <f>BEBENTO!O15</f>
        <v/>
      </c>
    </row>
    <row r="40" ht="15.75" customHeight="1" s="45">
      <c r="A40" s="25" t="inlineStr">
        <is>
          <t>BEBENTO</t>
        </is>
      </c>
      <c r="B40" s="25">
        <f>BEBENTO!A16</f>
        <v/>
      </c>
      <c r="C40" s="25">
        <f>BEBENTO!B16</f>
        <v/>
      </c>
      <c r="D40" s="25">
        <f>BEBENTO!C16</f>
        <v/>
      </c>
      <c r="E40" s="44">
        <f>BEBENTO!D16</f>
        <v/>
      </c>
      <c r="F40" s="28">
        <f>BEBENTO!I16</f>
        <v/>
      </c>
      <c r="G40" s="28">
        <f>BEBENTO!J16</f>
        <v/>
      </c>
      <c r="H40" s="28">
        <f>BEBENTO!K16</f>
        <v/>
      </c>
      <c r="I40" s="28">
        <f>BEBENTO!N16</f>
        <v/>
      </c>
      <c r="J40" s="28">
        <f>BEBENTO!O16</f>
        <v/>
      </c>
    </row>
    <row r="41" ht="15.75" customHeight="1" s="45">
      <c r="A41" s="25" t="inlineStr">
        <is>
          <t>BEBENTO</t>
        </is>
      </c>
      <c r="B41" s="25">
        <f>BEBENTO!A17</f>
        <v/>
      </c>
      <c r="C41" s="25">
        <f>BEBENTO!B17</f>
        <v/>
      </c>
      <c r="D41" s="25">
        <f>BEBENTO!C17</f>
        <v/>
      </c>
      <c r="E41" s="44">
        <f>BEBENTO!D17</f>
        <v/>
      </c>
      <c r="F41" s="28">
        <f>BEBENTO!I17</f>
        <v/>
      </c>
      <c r="G41" s="28">
        <f>BEBENTO!J17</f>
        <v/>
      </c>
      <c r="H41" s="28">
        <f>BEBENTO!K17</f>
        <v/>
      </c>
      <c r="I41" s="28">
        <f>BEBENTO!N17</f>
        <v/>
      </c>
      <c r="J41" s="28">
        <f>BEBENTO!O17</f>
        <v/>
      </c>
    </row>
    <row r="42" ht="15.75" customHeight="1" s="45">
      <c r="A42" s="25" t="inlineStr">
        <is>
          <t>BEBENTO</t>
        </is>
      </c>
      <c r="B42" s="25">
        <f>BEBENTO!A18</f>
        <v/>
      </c>
      <c r="C42" s="25">
        <f>BEBENTO!B18</f>
        <v/>
      </c>
      <c r="D42" s="25">
        <f>BEBENTO!C18</f>
        <v/>
      </c>
      <c r="E42" s="44">
        <f>BEBENTO!D18</f>
        <v/>
      </c>
      <c r="F42" s="28">
        <f>BEBENTO!I18</f>
        <v/>
      </c>
      <c r="G42" s="28">
        <f>BEBENTO!J18</f>
        <v/>
      </c>
      <c r="H42" s="28">
        <f>BEBENTO!K18</f>
        <v/>
      </c>
      <c r="I42" s="28">
        <f>BEBENTO!N18</f>
        <v/>
      </c>
      <c r="J42" s="28">
        <f>BEBENTO!O18</f>
        <v/>
      </c>
    </row>
    <row r="43" ht="15.75" customHeight="1" s="45">
      <c r="A43" s="25" t="inlineStr">
        <is>
          <t>BEBENTO</t>
        </is>
      </c>
      <c r="B43" s="25">
        <f>BEBENTO!A19</f>
        <v/>
      </c>
      <c r="C43" s="25">
        <f>BEBENTO!B19</f>
        <v/>
      </c>
      <c r="D43" s="25">
        <f>BEBENTO!C19</f>
        <v/>
      </c>
      <c r="E43" s="44">
        <f>BEBENTO!D19</f>
        <v/>
      </c>
      <c r="F43" s="28">
        <f>BEBENTO!I19</f>
        <v/>
      </c>
      <c r="G43" s="28">
        <f>BEBENTO!J19</f>
        <v/>
      </c>
      <c r="H43" s="28">
        <f>BEBENTO!K19</f>
        <v/>
      </c>
      <c r="I43" s="28">
        <f>BEBENTO!N19</f>
        <v/>
      </c>
      <c r="J43" s="28">
        <f>BEBENTO!O19</f>
        <v/>
      </c>
    </row>
    <row r="44" ht="15.75" customHeight="1" s="45">
      <c r="A44" s="25" t="inlineStr">
        <is>
          <t>BEBENTO</t>
        </is>
      </c>
      <c r="B44" s="25">
        <f>BEBENTO!A20</f>
        <v/>
      </c>
      <c r="C44" s="25">
        <f>BEBENTO!B20</f>
        <v/>
      </c>
      <c r="D44" s="25">
        <f>BEBENTO!C20</f>
        <v/>
      </c>
      <c r="E44" s="44">
        <f>BEBENTO!D20</f>
        <v/>
      </c>
      <c r="F44" s="28">
        <f>BEBENTO!I20</f>
        <v/>
      </c>
      <c r="G44" s="28">
        <f>BEBENTO!J20</f>
        <v/>
      </c>
      <c r="H44" s="28">
        <f>BEBENTO!K20</f>
        <v/>
      </c>
      <c r="I44" s="28">
        <f>BEBENTO!N20</f>
        <v/>
      </c>
      <c r="J44" s="28">
        <f>BEBENTO!O20</f>
        <v/>
      </c>
    </row>
    <row r="45" ht="15.75" customHeight="1" s="45">
      <c r="A45" s="25" t="inlineStr">
        <is>
          <t>BEBENTO</t>
        </is>
      </c>
      <c r="B45" s="25">
        <f>BEBENTO!A21</f>
        <v/>
      </c>
      <c r="C45" s="25">
        <f>BEBENTO!B21</f>
        <v/>
      </c>
      <c r="D45" s="25">
        <f>BEBENTO!C21</f>
        <v/>
      </c>
      <c r="E45" s="44">
        <f>BEBENTO!D21</f>
        <v/>
      </c>
      <c r="F45" s="28">
        <f>BEBENTO!I21</f>
        <v/>
      </c>
      <c r="G45" s="28">
        <f>BEBENTO!J21</f>
        <v/>
      </c>
      <c r="H45" s="28">
        <f>BEBENTO!K21</f>
        <v/>
      </c>
      <c r="I45" s="28">
        <f>BEBENTO!N21</f>
        <v/>
      </c>
      <c r="J45" s="28">
        <f>BEBENTO!O21</f>
        <v/>
      </c>
    </row>
    <row r="46" ht="15.75" customHeight="1" s="45">
      <c r="A46" s="25" t="inlineStr">
        <is>
          <t>BEBENTO</t>
        </is>
      </c>
      <c r="B46" s="25">
        <f>BEBENTO!A22</f>
        <v/>
      </c>
      <c r="C46" s="25">
        <f>BEBENTO!B22</f>
        <v/>
      </c>
      <c r="D46" s="25">
        <f>BEBENTO!C22</f>
        <v/>
      </c>
      <c r="E46" s="44">
        <f>BEBENTO!D22</f>
        <v/>
      </c>
      <c r="F46" s="28">
        <f>BEBENTO!I22</f>
        <v/>
      </c>
      <c r="G46" s="28">
        <f>BEBENTO!J22</f>
        <v/>
      </c>
      <c r="H46" s="28">
        <f>BEBENTO!K22</f>
        <v/>
      </c>
      <c r="I46" s="28">
        <f>BEBENTO!N22</f>
        <v/>
      </c>
      <c r="J46" s="28">
        <f>BEBENTO!O22</f>
        <v/>
      </c>
    </row>
    <row r="47" ht="15.75" customHeight="1" s="45">
      <c r="A47" s="25" t="inlineStr">
        <is>
          <t>BEBENTO</t>
        </is>
      </c>
      <c r="B47" s="25">
        <f>BEBENTO!A23</f>
        <v/>
      </c>
      <c r="C47" s="25">
        <f>BEBENTO!B23</f>
        <v/>
      </c>
      <c r="D47" s="25">
        <f>BEBENTO!C23</f>
        <v/>
      </c>
      <c r="E47" s="44">
        <f>BEBENTO!D23</f>
        <v/>
      </c>
      <c r="F47" s="28">
        <f>BEBENTO!I23</f>
        <v/>
      </c>
      <c r="G47" s="28">
        <f>BEBENTO!J23</f>
        <v/>
      </c>
      <c r="H47" s="28">
        <f>BEBENTO!K23</f>
        <v/>
      </c>
      <c r="I47" s="28">
        <f>BEBENTO!N23</f>
        <v/>
      </c>
      <c r="J47" s="28">
        <f>BEBENTO!O23</f>
        <v/>
      </c>
    </row>
    <row r="48" ht="15.75" customHeight="1" s="45">
      <c r="A48" s="25" t="inlineStr">
        <is>
          <t>BEBENTO</t>
        </is>
      </c>
      <c r="B48" s="25">
        <f>BEBENTO!A24</f>
        <v/>
      </c>
      <c r="C48" s="25">
        <f>BEBENTO!B24</f>
        <v/>
      </c>
      <c r="D48" s="25">
        <f>BEBENTO!C24</f>
        <v/>
      </c>
      <c r="E48" s="44">
        <f>BEBENTO!D24</f>
        <v/>
      </c>
      <c r="F48" s="28">
        <f>BEBENTO!I24</f>
        <v/>
      </c>
      <c r="G48" s="28">
        <f>BEBENTO!J24</f>
        <v/>
      </c>
      <c r="H48" s="28">
        <f>BEBENTO!K24</f>
        <v/>
      </c>
      <c r="I48" s="28">
        <f>BEBENTO!N24</f>
        <v/>
      </c>
      <c r="J48" s="28">
        <f>BEBENTO!O24</f>
        <v/>
      </c>
    </row>
    <row r="49" ht="15.75" customHeight="1" s="45">
      <c r="A49" s="25" t="inlineStr">
        <is>
          <t>BEBENTO</t>
        </is>
      </c>
      <c r="B49" s="25">
        <f>BEBENTO!A25</f>
        <v/>
      </c>
      <c r="C49" s="25">
        <f>BEBENTO!B25</f>
        <v/>
      </c>
      <c r="D49" s="25">
        <f>BEBENTO!C25</f>
        <v/>
      </c>
      <c r="E49" s="44">
        <f>BEBENTO!D25</f>
        <v/>
      </c>
      <c r="F49" s="28">
        <f>BEBENTO!I25</f>
        <v/>
      </c>
      <c r="G49" s="28">
        <f>BEBENTO!J25</f>
        <v/>
      </c>
      <c r="H49" s="28">
        <f>BEBENTO!K25</f>
        <v/>
      </c>
      <c r="I49" s="28">
        <f>BEBENTO!N25</f>
        <v/>
      </c>
      <c r="J49" s="28">
        <f>BEBENTO!O25</f>
        <v/>
      </c>
    </row>
    <row r="50" ht="15.75" customHeight="1" s="45">
      <c r="A50" s="25" t="inlineStr">
        <is>
          <t>BEBENTO</t>
        </is>
      </c>
      <c r="B50" s="25">
        <f>BEBENTO!A26</f>
        <v/>
      </c>
      <c r="C50" s="25">
        <f>BEBENTO!B26</f>
        <v/>
      </c>
      <c r="D50" s="25">
        <f>BEBENTO!C26</f>
        <v/>
      </c>
      <c r="E50" s="44">
        <f>BEBENTO!D26</f>
        <v/>
      </c>
      <c r="F50" s="28">
        <f>BEBENTO!I26</f>
        <v/>
      </c>
      <c r="G50" s="28">
        <f>BEBENTO!J26</f>
        <v/>
      </c>
      <c r="H50" s="28">
        <f>BEBENTO!K26</f>
        <v/>
      </c>
      <c r="I50" s="28">
        <f>BEBENTO!N26</f>
        <v/>
      </c>
      <c r="J50" s="28">
        <f>BEBENTO!O26</f>
        <v/>
      </c>
    </row>
    <row r="51" ht="15.75" customHeight="1" s="45">
      <c r="A51" s="25" t="inlineStr">
        <is>
          <t>BEBENTO</t>
        </is>
      </c>
      <c r="B51" s="25">
        <f>BEBENTO!A27</f>
        <v/>
      </c>
      <c r="C51" s="25">
        <f>BEBENTO!B27</f>
        <v/>
      </c>
      <c r="D51" s="25">
        <f>BEBENTO!C27</f>
        <v/>
      </c>
      <c r="E51" s="44">
        <f>BEBENTO!D27</f>
        <v/>
      </c>
      <c r="F51" s="28">
        <f>BEBENTO!I27</f>
        <v/>
      </c>
      <c r="G51" s="28">
        <f>BEBENTO!J27</f>
        <v/>
      </c>
      <c r="H51" s="28">
        <f>BEBENTO!K27</f>
        <v/>
      </c>
      <c r="I51" s="28">
        <f>BEBENTO!N27</f>
        <v/>
      </c>
      <c r="J51" s="28">
        <f>BEBENTO!O27</f>
        <v/>
      </c>
    </row>
    <row r="52" ht="15.75" customHeight="1" s="45">
      <c r="A52" s="25" t="inlineStr">
        <is>
          <t>BEBENTO</t>
        </is>
      </c>
      <c r="B52" s="25">
        <f>BEBENTO!A28</f>
        <v/>
      </c>
      <c r="C52" s="25">
        <f>BEBENTO!B28</f>
        <v/>
      </c>
      <c r="D52" s="25">
        <f>BEBENTO!C28</f>
        <v/>
      </c>
      <c r="E52" s="44">
        <f>BEBENTO!D28</f>
        <v/>
      </c>
      <c r="F52" s="28">
        <f>BEBENTO!I28</f>
        <v/>
      </c>
      <c r="G52" s="28">
        <f>BEBENTO!J28</f>
        <v/>
      </c>
      <c r="H52" s="28">
        <f>BEBENTO!K28</f>
        <v/>
      </c>
      <c r="I52" s="28">
        <f>BEBENTO!N28</f>
        <v/>
      </c>
      <c r="J52" s="28">
        <f>BEBENTO!O28</f>
        <v/>
      </c>
    </row>
    <row r="53" ht="15.75" customHeight="1" s="45">
      <c r="A53" s="25" t="inlineStr">
        <is>
          <t>BEBENTO</t>
        </is>
      </c>
      <c r="B53" s="25">
        <f>BEBENTO!A29</f>
        <v/>
      </c>
      <c r="C53" s="25">
        <f>BEBENTO!B29</f>
        <v/>
      </c>
      <c r="D53" s="25">
        <f>BEBENTO!C29</f>
        <v/>
      </c>
      <c r="E53" s="44">
        <f>BEBENTO!D29</f>
        <v/>
      </c>
      <c r="F53" s="28">
        <f>BEBENTO!I29</f>
        <v/>
      </c>
      <c r="G53" s="28">
        <f>BEBENTO!J29</f>
        <v/>
      </c>
      <c r="H53" s="28">
        <f>BEBENTO!K29</f>
        <v/>
      </c>
      <c r="I53" s="28">
        <f>BEBENTO!N29</f>
        <v/>
      </c>
      <c r="J53" s="28">
        <f>BEBENTO!O29</f>
        <v/>
      </c>
    </row>
    <row r="54" ht="15.75" customHeight="1" s="45">
      <c r="A54" s="25" t="inlineStr">
        <is>
          <t>BEBEEATS</t>
        </is>
      </c>
      <c r="B54" s="25">
        <f>BEBEEATS!A5</f>
        <v/>
      </c>
      <c r="C54" s="25">
        <f>BEBEEATS!B5</f>
        <v/>
      </c>
      <c r="D54" s="25">
        <f>BEBEEATS!C5</f>
        <v/>
      </c>
      <c r="E54" s="44">
        <f>BEBEEATS!D5</f>
        <v/>
      </c>
      <c r="F54" s="28">
        <f>BEBEEATS!I5</f>
        <v/>
      </c>
      <c r="G54" s="28">
        <f>BEBEEATS!J5</f>
        <v/>
      </c>
      <c r="H54" s="28">
        <f>BEBEEATS!K5</f>
        <v/>
      </c>
      <c r="I54" s="28">
        <f>BEBEEATS!N5</f>
        <v/>
      </c>
      <c r="J54" s="28">
        <f>BEBEEATS!O5</f>
        <v/>
      </c>
    </row>
    <row r="55" ht="15.75" customHeight="1" s="45">
      <c r="A55" s="25" t="inlineStr">
        <is>
          <t>BEBEEATS</t>
        </is>
      </c>
      <c r="B55" s="25">
        <f>BEBEEATS!A6</f>
        <v/>
      </c>
      <c r="C55" s="25">
        <f>BEBEEATS!B6</f>
        <v/>
      </c>
      <c r="D55" s="25">
        <f>BEBEEATS!C6</f>
        <v/>
      </c>
      <c r="E55" s="44">
        <f>BEBEEATS!D6</f>
        <v/>
      </c>
      <c r="F55" s="28">
        <f>BEBEEATS!I6</f>
        <v/>
      </c>
      <c r="G55" s="28">
        <f>BEBEEATS!J6</f>
        <v/>
      </c>
      <c r="H55" s="28">
        <f>BEBEEATS!K6</f>
        <v/>
      </c>
      <c r="I55" s="28">
        <f>BEBEEATS!N6</f>
        <v/>
      </c>
      <c r="J55" s="28">
        <f>BEBEEATS!O6</f>
        <v/>
      </c>
    </row>
    <row r="56" ht="15.75" customHeight="1" s="45">
      <c r="A56" s="25" t="inlineStr">
        <is>
          <t>BEBEEATS</t>
        </is>
      </c>
      <c r="B56" s="25">
        <f>BEBEEATS!A7</f>
        <v/>
      </c>
      <c r="C56" s="25">
        <f>BEBEEATS!B7</f>
        <v/>
      </c>
      <c r="D56" s="25">
        <f>BEBEEATS!C7</f>
        <v/>
      </c>
      <c r="E56" s="44">
        <f>BEBEEATS!D7</f>
        <v/>
      </c>
      <c r="F56" s="28">
        <f>BEBEEATS!I7</f>
        <v/>
      </c>
      <c r="G56" s="28">
        <f>BEBEEATS!J7</f>
        <v/>
      </c>
      <c r="H56" s="28">
        <f>BEBEEATS!K7</f>
        <v/>
      </c>
      <c r="I56" s="28">
        <f>BEBEEATS!N7</f>
        <v/>
      </c>
      <c r="J56" s="28">
        <f>BEBEEATS!O7</f>
        <v/>
      </c>
    </row>
    <row r="57" ht="15.75" customHeight="1" s="45">
      <c r="A57" s="25" t="inlineStr">
        <is>
          <t>BEBEEATS</t>
        </is>
      </c>
      <c r="B57" s="25">
        <f>BEBEEATS!A8</f>
        <v/>
      </c>
      <c r="C57" s="25">
        <f>BEBEEATS!B8</f>
        <v/>
      </c>
      <c r="D57" s="25">
        <f>BEBEEATS!C8</f>
        <v/>
      </c>
      <c r="E57" s="44">
        <f>BEBEEATS!D8</f>
        <v/>
      </c>
      <c r="F57" s="28">
        <f>BEBEEATS!I8</f>
        <v/>
      </c>
      <c r="G57" s="28">
        <f>BEBEEATS!J8</f>
        <v/>
      </c>
      <c r="H57" s="28">
        <f>BEBEEATS!K8</f>
        <v/>
      </c>
      <c r="I57" s="28">
        <f>BEBEEATS!N8</f>
        <v/>
      </c>
      <c r="J57" s="28">
        <f>BEBEEATS!O8</f>
        <v/>
      </c>
    </row>
    <row r="58" ht="15.75" customHeight="1" s="45">
      <c r="A58" s="25" t="inlineStr">
        <is>
          <t>BEBEEATS</t>
        </is>
      </c>
      <c r="B58" s="25">
        <f>BEBEEATS!A9</f>
        <v/>
      </c>
      <c r="C58" s="25">
        <f>BEBEEATS!B9</f>
        <v/>
      </c>
      <c r="D58" s="25">
        <f>BEBEEATS!C9</f>
        <v/>
      </c>
      <c r="E58" s="44">
        <f>BEBEEATS!D9</f>
        <v/>
      </c>
      <c r="F58" s="28">
        <f>BEBEEATS!I9</f>
        <v/>
      </c>
      <c r="G58" s="28">
        <f>BEBEEATS!J9</f>
        <v/>
      </c>
      <c r="H58" s="28">
        <f>BEBEEATS!K9</f>
        <v/>
      </c>
      <c r="I58" s="28">
        <f>BEBEEATS!N9</f>
        <v/>
      </c>
      <c r="J58" s="28">
        <f>BEBEEATS!O9</f>
        <v/>
      </c>
    </row>
    <row r="59" ht="15.75" customHeight="1" s="45">
      <c r="A59" s="25" t="inlineStr">
        <is>
          <t>BEBEEATS</t>
        </is>
      </c>
      <c r="B59" s="25">
        <f>BEBEEATS!A10</f>
        <v/>
      </c>
      <c r="C59" s="25">
        <f>BEBEEATS!B10</f>
        <v/>
      </c>
      <c r="D59" s="25">
        <f>BEBEEATS!C10</f>
        <v/>
      </c>
      <c r="E59" s="44">
        <f>BEBEEATS!D10</f>
        <v/>
      </c>
      <c r="F59" s="28">
        <f>BEBEEATS!I10</f>
        <v/>
      </c>
      <c r="G59" s="28">
        <f>BEBEEATS!J10</f>
        <v/>
      </c>
      <c r="H59" s="28">
        <f>BEBEEATS!K10</f>
        <v/>
      </c>
      <c r="I59" s="28">
        <f>BEBEEATS!N10</f>
        <v/>
      </c>
      <c r="J59" s="28">
        <f>BEBEEATS!O10</f>
        <v/>
      </c>
    </row>
    <row r="60" ht="15.75" customHeight="1" s="45">
      <c r="A60" s="25" t="inlineStr">
        <is>
          <t>BEBEEATS</t>
        </is>
      </c>
      <c r="B60" s="25">
        <f>BEBEEATS!A11</f>
        <v/>
      </c>
      <c r="C60" s="25">
        <f>BEBEEATS!B11</f>
        <v/>
      </c>
      <c r="D60" s="25">
        <f>BEBEEATS!C11</f>
        <v/>
      </c>
      <c r="E60" s="44">
        <f>BEBEEATS!D11</f>
        <v/>
      </c>
      <c r="F60" s="28">
        <f>BEBEEATS!I11</f>
        <v/>
      </c>
      <c r="G60" s="28">
        <f>BEBEEATS!J11</f>
        <v/>
      </c>
      <c r="H60" s="28">
        <f>BEBEEATS!K11</f>
        <v/>
      </c>
      <c r="I60" s="28">
        <f>BEBEEATS!N11</f>
        <v/>
      </c>
      <c r="J60" s="28">
        <f>BEBEEATS!O11</f>
        <v/>
      </c>
    </row>
    <row r="61" ht="15.75" customHeight="1" s="45">
      <c r="A61" s="25" t="inlineStr">
        <is>
          <t>BEBEEATS</t>
        </is>
      </c>
      <c r="B61" s="25">
        <f>BEBEEATS!A12</f>
        <v/>
      </c>
      <c r="C61" s="25">
        <f>BEBEEATS!B12</f>
        <v/>
      </c>
      <c r="D61" s="25">
        <f>BEBEEATS!C12</f>
        <v/>
      </c>
      <c r="E61" s="44">
        <f>BEBEEATS!D12</f>
        <v/>
      </c>
      <c r="F61" s="28">
        <f>BEBEEATS!I12</f>
        <v/>
      </c>
      <c r="G61" s="28">
        <f>BEBEEATS!J12</f>
        <v/>
      </c>
      <c r="H61" s="28">
        <f>BEBEEATS!K12</f>
        <v/>
      </c>
      <c r="I61" s="28">
        <f>BEBEEATS!N12</f>
        <v/>
      </c>
      <c r="J61" s="28">
        <f>BEBEEATS!O12</f>
        <v/>
      </c>
    </row>
    <row r="62" ht="15.75" customHeight="1" s="45">
      <c r="A62" s="25" t="inlineStr">
        <is>
          <t>BEBEEATS</t>
        </is>
      </c>
      <c r="B62" s="25">
        <f>BEBEEATS!A13</f>
        <v/>
      </c>
      <c r="C62" s="25">
        <f>BEBEEATS!B13</f>
        <v/>
      </c>
      <c r="D62" s="25">
        <f>BEBEEATS!C13</f>
        <v/>
      </c>
      <c r="E62" s="44">
        <f>BEBEEATS!D13</f>
        <v/>
      </c>
      <c r="F62" s="28">
        <f>BEBEEATS!I13</f>
        <v/>
      </c>
      <c r="G62" s="28">
        <f>BEBEEATS!J13</f>
        <v/>
      </c>
      <c r="H62" s="28">
        <f>BEBEEATS!K13</f>
        <v/>
      </c>
      <c r="I62" s="28">
        <f>BEBEEATS!N13</f>
        <v/>
      </c>
      <c r="J62" s="28">
        <f>BEBEEATS!O13</f>
        <v/>
      </c>
    </row>
    <row r="63" ht="15.75" customHeight="1" s="45">
      <c r="A63" s="25" t="inlineStr">
        <is>
          <t>BEBEPLAYS</t>
        </is>
      </c>
      <c r="B63" s="25">
        <f>BEBEPLAYS!A5</f>
        <v/>
      </c>
      <c r="C63" s="25">
        <f>BEBEPLAYS!B5</f>
        <v/>
      </c>
      <c r="D63" s="25">
        <f>BEBEPLAYS!C5</f>
        <v/>
      </c>
      <c r="E63" s="44">
        <f>BEBEPLAYS!D5</f>
        <v/>
      </c>
      <c r="F63" s="28">
        <f>BEBEPLAYS!I5</f>
        <v/>
      </c>
      <c r="G63" s="28">
        <f>BEBEPLAYS!J5</f>
        <v/>
      </c>
      <c r="H63" s="28">
        <f>BEBEPLAYS!K5</f>
        <v/>
      </c>
      <c r="I63" s="28">
        <f>BEBEPLAYS!N5</f>
        <v/>
      </c>
      <c r="J63" s="28">
        <f>BEBEPLAYS!O5</f>
        <v/>
      </c>
    </row>
    <row r="64" ht="15.75" customHeight="1" s="45">
      <c r="A64" s="25" t="inlineStr">
        <is>
          <t>BEBEPLAYS</t>
        </is>
      </c>
      <c r="B64" s="25">
        <f>BEBEPLAYS!A6</f>
        <v/>
      </c>
      <c r="C64" s="25">
        <f>BEBEPLAYS!B6</f>
        <v/>
      </c>
      <c r="D64" s="25">
        <f>BEBEPLAYS!C6</f>
        <v/>
      </c>
      <c r="E64" s="44">
        <f>BEBEPLAYS!D6</f>
        <v/>
      </c>
      <c r="F64" s="28">
        <f>BEBEPLAYS!I6</f>
        <v/>
      </c>
      <c r="G64" s="28">
        <f>BEBEPLAYS!J6</f>
        <v/>
      </c>
      <c r="H64" s="28">
        <f>BEBEPLAYS!K6</f>
        <v/>
      </c>
      <c r="I64" s="28">
        <f>BEBEPLAYS!N6</f>
        <v/>
      </c>
      <c r="J64" s="28">
        <f>BEBEPLAYS!O6</f>
        <v/>
      </c>
    </row>
    <row r="65" ht="15.75" customHeight="1" s="45">
      <c r="A65" s="25" t="inlineStr">
        <is>
          <t>BEBEPLAYS</t>
        </is>
      </c>
      <c r="B65" s="25">
        <f>BEBEPLAYS!A7</f>
        <v/>
      </c>
      <c r="C65" s="25">
        <f>BEBEPLAYS!B7</f>
        <v/>
      </c>
      <c r="D65" s="25">
        <f>BEBEPLAYS!C7</f>
        <v/>
      </c>
      <c r="E65" s="44">
        <f>BEBEPLAYS!D7</f>
        <v/>
      </c>
      <c r="F65" s="28">
        <f>BEBEPLAYS!I7</f>
        <v/>
      </c>
      <c r="G65" s="28">
        <f>BEBEPLAYS!J7</f>
        <v/>
      </c>
      <c r="H65" s="28">
        <f>BEBEPLAYS!K7</f>
        <v/>
      </c>
      <c r="I65" s="28">
        <f>BEBEPLAYS!N7</f>
        <v/>
      </c>
      <c r="J65" s="28">
        <f>BEBEPLAYS!O7</f>
        <v/>
      </c>
    </row>
    <row r="66" ht="15.75" customHeight="1" s="45">
      <c r="A66" s="25" t="inlineStr">
        <is>
          <t>BEBEPLAYS</t>
        </is>
      </c>
      <c r="B66" s="25">
        <f>BEBEPLAYS!A8</f>
        <v/>
      </c>
      <c r="C66" s="25">
        <f>BEBEPLAYS!B8</f>
        <v/>
      </c>
      <c r="D66" s="25">
        <f>BEBEPLAYS!C8</f>
        <v/>
      </c>
      <c r="E66" s="44">
        <f>BEBEPLAYS!D8</f>
        <v/>
      </c>
      <c r="F66" s="28">
        <f>BEBEPLAYS!I8</f>
        <v/>
      </c>
      <c r="G66" s="28">
        <f>BEBEPLAYS!J8</f>
        <v/>
      </c>
      <c r="H66" s="28">
        <f>BEBEPLAYS!K8</f>
        <v/>
      </c>
      <c r="I66" s="28">
        <f>BEBEPLAYS!N8</f>
        <v/>
      </c>
      <c r="J66" s="28">
        <f>BEBEPLAYS!O8</f>
        <v/>
      </c>
    </row>
    <row r="67" ht="15.75" customHeight="1" s="45">
      <c r="A67" s="25" t="inlineStr">
        <is>
          <t>BEBEPLAYS</t>
        </is>
      </c>
      <c r="B67" s="25">
        <f>BEBEPLAYS!A9</f>
        <v/>
      </c>
      <c r="C67" s="25">
        <f>BEBEPLAYS!B9</f>
        <v/>
      </c>
      <c r="D67" s="25">
        <f>BEBEPLAYS!C9</f>
        <v/>
      </c>
      <c r="E67" s="44">
        <f>BEBEPLAYS!D9</f>
        <v/>
      </c>
      <c r="F67" s="28">
        <f>BEBEPLAYS!I9</f>
        <v/>
      </c>
      <c r="G67" s="28">
        <f>BEBEPLAYS!J9</f>
        <v/>
      </c>
      <c r="H67" s="28">
        <f>BEBEPLAYS!K9</f>
        <v/>
      </c>
      <c r="I67" s="28">
        <f>BEBEPLAYS!N9</f>
        <v/>
      </c>
      <c r="J67" s="28">
        <f>BEBEPLAYS!O9</f>
        <v/>
      </c>
    </row>
    <row r="68" ht="15.75" customHeight="1" s="45">
      <c r="A68" s="25" t="inlineStr">
        <is>
          <t>BEBEPLAYS</t>
        </is>
      </c>
      <c r="B68" s="25">
        <f>BEBEPLAYS!A10</f>
        <v/>
      </c>
      <c r="C68" s="25">
        <f>BEBEPLAYS!B10</f>
        <v/>
      </c>
      <c r="D68" s="25">
        <f>BEBEPLAYS!C10</f>
        <v/>
      </c>
      <c r="E68" s="44">
        <f>BEBEPLAYS!D10</f>
        <v/>
      </c>
      <c r="F68" s="28">
        <f>BEBEPLAYS!I10</f>
        <v/>
      </c>
      <c r="G68" s="28">
        <f>BEBEPLAYS!J10</f>
        <v/>
      </c>
      <c r="H68" s="28">
        <f>BEBEPLAYS!K10</f>
        <v/>
      </c>
      <c r="I68" s="28">
        <f>BEBEPLAYS!N10</f>
        <v/>
      </c>
      <c r="J68" s="28">
        <f>BEBEPLAYS!O10</f>
        <v/>
      </c>
    </row>
    <row r="69" ht="15.75" customHeight="1" s="45">
      <c r="A69" s="25" t="inlineStr">
        <is>
          <t>BEBEPLAYS</t>
        </is>
      </c>
      <c r="B69" s="25">
        <f>BEBEPLAYS!A11</f>
        <v/>
      </c>
      <c r="C69" s="25">
        <f>BEBEPLAYS!B11</f>
        <v/>
      </c>
      <c r="D69" s="25">
        <f>BEBEPLAYS!C11</f>
        <v/>
      </c>
      <c r="E69" s="44">
        <f>BEBEPLAYS!D11</f>
        <v/>
      </c>
      <c r="F69" s="28">
        <f>BEBEPLAYS!I11</f>
        <v/>
      </c>
      <c r="G69" s="28">
        <f>BEBEPLAYS!J11</f>
        <v/>
      </c>
      <c r="H69" s="28">
        <f>BEBEPLAYS!K11</f>
        <v/>
      </c>
      <c r="I69" s="28">
        <f>BEBEPLAYS!N11</f>
        <v/>
      </c>
      <c r="J69" s="28">
        <f>BEBEPLAYS!O11</f>
        <v/>
      </c>
    </row>
    <row r="70" ht="15.75" customHeight="1" s="45">
      <c r="A70" s="25" t="inlineStr">
        <is>
          <t>BEBEPLAYS</t>
        </is>
      </c>
      <c r="B70" s="25">
        <f>BEBEPLAYS!A12</f>
        <v/>
      </c>
      <c r="C70" s="25">
        <f>BEBEPLAYS!B12</f>
        <v/>
      </c>
      <c r="D70" s="25">
        <f>BEBEPLAYS!C12</f>
        <v/>
      </c>
      <c r="E70" s="44">
        <f>BEBEPLAYS!D12</f>
        <v/>
      </c>
      <c r="F70" s="28">
        <f>BEBEPLAYS!I12</f>
        <v/>
      </c>
      <c r="G70" s="28">
        <f>BEBEPLAYS!J12</f>
        <v/>
      </c>
      <c r="H70" s="28">
        <f>BEBEPLAYS!K12</f>
        <v/>
      </c>
      <c r="I70" s="28">
        <f>BEBEPLAYS!N12</f>
        <v/>
      </c>
      <c r="J70" s="28">
        <f>BEBEPLAYS!O12</f>
        <v/>
      </c>
    </row>
    <row r="71" ht="15.75" customHeight="1" s="45">
      <c r="A71" s="25" t="inlineStr">
        <is>
          <t>BEBEPLAYS</t>
        </is>
      </c>
      <c r="B71" s="25">
        <f>BEBEPLAYS!A13</f>
        <v/>
      </c>
      <c r="C71" s="25">
        <f>BEBEPLAYS!B13</f>
        <v/>
      </c>
      <c r="D71" s="25">
        <f>BEBEPLAYS!C13</f>
        <v/>
      </c>
      <c r="E71" s="44">
        <f>BEBEPLAYS!D13</f>
        <v/>
      </c>
      <c r="F71" s="28">
        <f>BEBEPLAYS!I13</f>
        <v/>
      </c>
      <c r="G71" s="28">
        <f>BEBEPLAYS!J13</f>
        <v/>
      </c>
      <c r="H71" s="28">
        <f>BEBEPLAYS!K13</f>
        <v/>
      </c>
      <c r="I71" s="28">
        <f>BEBEPLAYS!N13</f>
        <v/>
      </c>
      <c r="J71" s="28">
        <f>BEBEPLAYS!O13</f>
        <v/>
      </c>
    </row>
    <row r="72" ht="15.75" customHeight="1" s="45">
      <c r="A72" s="25" t="inlineStr">
        <is>
          <t>BEBEPLAYS</t>
        </is>
      </c>
      <c r="B72" s="25">
        <f>BEBEPLAYS!A14</f>
        <v/>
      </c>
      <c r="C72" s="25">
        <f>BEBEPLAYS!B14</f>
        <v/>
      </c>
      <c r="D72" s="25">
        <f>BEBEPLAYS!C14</f>
        <v/>
      </c>
      <c r="E72" s="44">
        <f>BEBEPLAYS!D14</f>
        <v/>
      </c>
      <c r="F72" s="28">
        <f>BEBEPLAYS!I14</f>
        <v/>
      </c>
      <c r="G72" s="28">
        <f>BEBEPLAYS!J14</f>
        <v/>
      </c>
      <c r="H72" s="28">
        <f>BEBEPLAYS!K14</f>
        <v/>
      </c>
      <c r="I72" s="28">
        <f>BEBEPLAYS!N14</f>
        <v/>
      </c>
      <c r="J72" s="28">
        <f>BEBEPLAYS!O14</f>
        <v/>
      </c>
    </row>
    <row r="73" ht="15.75" customHeight="1" s="45">
      <c r="A73" s="25" t="inlineStr">
        <is>
          <t>BEBEPLAYS</t>
        </is>
      </c>
      <c r="B73" s="25">
        <f>BEBEPLAYS!A15</f>
        <v/>
      </c>
      <c r="C73" s="25">
        <f>BEBEPLAYS!B15</f>
        <v/>
      </c>
      <c r="D73" s="25">
        <f>BEBEPLAYS!C15</f>
        <v/>
      </c>
      <c r="E73" s="44">
        <f>BEBEPLAYS!D15</f>
        <v/>
      </c>
      <c r="F73" s="28">
        <f>BEBEPLAYS!I15</f>
        <v/>
      </c>
      <c r="G73" s="28">
        <f>BEBEPLAYS!J15</f>
        <v/>
      </c>
      <c r="H73" s="28">
        <f>BEBEPLAYS!K15</f>
        <v/>
      </c>
      <c r="I73" s="28">
        <f>BEBEPLAYS!N15</f>
        <v/>
      </c>
      <c r="J73" s="28">
        <f>BEBEPLAYS!O15</f>
        <v/>
      </c>
    </row>
    <row r="74" ht="15.75" customHeight="1" s="45">
      <c r="A74" s="25" t="inlineStr">
        <is>
          <t>BEBEPLAYS</t>
        </is>
      </c>
      <c r="B74" s="25">
        <f>BEBEPLAYS!A16</f>
        <v/>
      </c>
      <c r="C74" s="25">
        <f>BEBEPLAYS!B16</f>
        <v/>
      </c>
      <c r="D74" s="25">
        <f>BEBEPLAYS!C16</f>
        <v/>
      </c>
      <c r="E74" s="44">
        <f>BEBEPLAYS!D16</f>
        <v/>
      </c>
      <c r="F74" s="28">
        <f>BEBEPLAYS!I16</f>
        <v/>
      </c>
      <c r="G74" s="28">
        <f>BEBEPLAYS!J16</f>
        <v/>
      </c>
      <c r="H74" s="28">
        <f>BEBEPLAYS!K16</f>
        <v/>
      </c>
      <c r="I74" s="28">
        <f>BEBEPLAYS!N16</f>
        <v/>
      </c>
      <c r="J74" s="28">
        <f>BEBEPLAYS!O16</f>
        <v/>
      </c>
    </row>
    <row r="75" ht="15.75" customHeight="1" s="45">
      <c r="A75" s="25" t="inlineStr">
        <is>
          <t>BEBEPLAYS</t>
        </is>
      </c>
      <c r="B75" s="25">
        <f>BEBEPLAYS!A17</f>
        <v/>
      </c>
      <c r="C75" s="25">
        <f>BEBEPLAYS!B17</f>
        <v/>
      </c>
      <c r="D75" s="25">
        <f>BEBEPLAYS!C17</f>
        <v/>
      </c>
      <c r="E75" s="44">
        <f>BEBEPLAYS!D17</f>
        <v/>
      </c>
      <c r="F75" s="28">
        <f>BEBEPLAYS!I17</f>
        <v/>
      </c>
      <c r="G75" s="28">
        <f>BEBEPLAYS!J17</f>
        <v/>
      </c>
      <c r="H75" s="28">
        <f>BEBEPLAYS!K17</f>
        <v/>
      </c>
      <c r="I75" s="28">
        <f>BEBEPLAYS!N17</f>
        <v/>
      </c>
      <c r="J75" s="28">
        <f>BEBEPLAYS!O17</f>
        <v/>
      </c>
    </row>
    <row r="76" ht="15.75" customHeight="1" s="45">
      <c r="A76" s="25" t="inlineStr">
        <is>
          <t>BEBEPLAYS</t>
        </is>
      </c>
      <c r="B76" s="25">
        <f>BEBEPLAYS!A18</f>
        <v/>
      </c>
      <c r="C76" s="25">
        <f>BEBEPLAYS!B18</f>
        <v/>
      </c>
      <c r="D76" s="25">
        <f>BEBEPLAYS!C18</f>
        <v/>
      </c>
      <c r="E76" s="44">
        <f>BEBEPLAYS!D18</f>
        <v/>
      </c>
      <c r="F76" s="28">
        <f>BEBEPLAYS!I18</f>
        <v/>
      </c>
      <c r="G76" s="28">
        <f>BEBEPLAYS!J18</f>
        <v/>
      </c>
      <c r="H76" s="28">
        <f>BEBEPLAYS!K18</f>
        <v/>
      </c>
      <c r="I76" s="28">
        <f>BEBEPLAYS!N18</f>
        <v/>
      </c>
      <c r="J76" s="28">
        <f>BEBEPLAYS!O18</f>
        <v/>
      </c>
    </row>
    <row r="77" ht="15.75" customHeight="1" s="45">
      <c r="A77" s="25" t="inlineStr">
        <is>
          <t>BEBEPLAYS</t>
        </is>
      </c>
      <c r="B77" s="25">
        <f>BEBEPLAYS!A19</f>
        <v/>
      </c>
      <c r="C77" s="25">
        <f>BEBEPLAYS!B19</f>
        <v/>
      </c>
      <c r="D77" s="25">
        <f>BEBEPLAYS!C19</f>
        <v/>
      </c>
      <c r="E77" s="44">
        <f>BEBEPLAYS!D19</f>
        <v/>
      </c>
      <c r="F77" s="28">
        <f>BEBEPLAYS!I19</f>
        <v/>
      </c>
      <c r="G77" s="28">
        <f>BEBEPLAYS!J19</f>
        <v/>
      </c>
      <c r="H77" s="28">
        <f>BEBEPLAYS!K19</f>
        <v/>
      </c>
      <c r="I77" s="28">
        <f>BEBEPLAYS!N19</f>
        <v/>
      </c>
      <c r="J77" s="28">
        <f>BEBEPLAYS!O19</f>
        <v/>
      </c>
    </row>
    <row r="78" ht="15.75" customHeight="1" s="45">
      <c r="A78" s="25" t="inlineStr">
        <is>
          <t>BEBEPLAYS</t>
        </is>
      </c>
      <c r="B78" s="25">
        <f>BEBEPLAYS!A20</f>
        <v/>
      </c>
      <c r="C78" s="25">
        <f>BEBEPLAYS!B20</f>
        <v/>
      </c>
      <c r="D78" s="25">
        <f>BEBEPLAYS!C20</f>
        <v/>
      </c>
      <c r="E78" s="44">
        <f>BEBEPLAYS!D20</f>
        <v/>
      </c>
      <c r="F78" s="28">
        <f>BEBEPLAYS!I20</f>
        <v/>
      </c>
      <c r="G78" s="28">
        <f>BEBEPLAYS!J20</f>
        <v/>
      </c>
      <c r="H78" s="28">
        <f>BEBEPLAYS!K20</f>
        <v/>
      </c>
      <c r="I78" s="28">
        <f>BEBEPLAYS!N20</f>
        <v/>
      </c>
      <c r="J78" s="28">
        <f>BEBEPLAYS!O20</f>
        <v/>
      </c>
    </row>
    <row r="79" ht="15.75" customHeight="1" s="45">
      <c r="A79" s="25" t="inlineStr">
        <is>
          <t>BEBEPLAYS</t>
        </is>
      </c>
      <c r="B79" s="25">
        <f>BEBEPLAYS!A21</f>
        <v/>
      </c>
      <c r="C79" s="25">
        <f>BEBEPLAYS!B21</f>
        <v/>
      </c>
      <c r="D79" s="25">
        <f>BEBEPLAYS!C21</f>
        <v/>
      </c>
      <c r="E79" s="44">
        <f>BEBEPLAYS!D21</f>
        <v/>
      </c>
      <c r="F79" s="28">
        <f>BEBEPLAYS!I21</f>
        <v/>
      </c>
      <c r="G79" s="28">
        <f>BEBEPLAYS!J21</f>
        <v/>
      </c>
      <c r="H79" s="28">
        <f>BEBEPLAYS!K21</f>
        <v/>
      </c>
      <c r="I79" s="28">
        <f>BEBEPLAYS!N21</f>
        <v/>
      </c>
      <c r="J79" s="28">
        <f>BEBEPLAYS!O21</f>
        <v/>
      </c>
    </row>
    <row r="80" ht="15.75" customHeight="1" s="45">
      <c r="A80" s="25" t="inlineStr">
        <is>
          <t>BEBEPLAYS</t>
        </is>
      </c>
      <c r="B80" s="25">
        <f>BEBEPLAYS!A22</f>
        <v/>
      </c>
      <c r="C80" s="25">
        <f>BEBEPLAYS!B22</f>
        <v/>
      </c>
      <c r="D80" s="25">
        <f>BEBEPLAYS!C22</f>
        <v/>
      </c>
      <c r="E80" s="44">
        <f>BEBEPLAYS!D22</f>
        <v/>
      </c>
      <c r="F80" s="28">
        <f>BEBEPLAYS!I22</f>
        <v/>
      </c>
      <c r="G80" s="28">
        <f>BEBEPLAYS!J22</f>
        <v/>
      </c>
      <c r="H80" s="28">
        <f>BEBEPLAYS!K22</f>
        <v/>
      </c>
      <c r="I80" s="28">
        <f>BEBEPLAYS!N22</f>
        <v/>
      </c>
      <c r="J80" s="28">
        <f>BEBEPLAYS!O22</f>
        <v/>
      </c>
    </row>
    <row r="81" ht="15.75" customHeight="1" s="45">
      <c r="A81" s="25" t="inlineStr">
        <is>
          <t>BEBEPLAYS</t>
        </is>
      </c>
      <c r="B81" s="25">
        <f>BEBEPLAYS!A23</f>
        <v/>
      </c>
      <c r="C81" s="25">
        <f>BEBEPLAYS!B23</f>
        <v/>
      </c>
      <c r="D81" s="25">
        <f>BEBEPLAYS!C23</f>
        <v/>
      </c>
      <c r="E81" s="44">
        <f>BEBEPLAYS!D23</f>
        <v/>
      </c>
      <c r="F81" s="28">
        <f>BEBEPLAYS!I23</f>
        <v/>
      </c>
      <c r="G81" s="28">
        <f>BEBEPLAYS!J23</f>
        <v/>
      </c>
      <c r="H81" s="28">
        <f>BEBEPLAYS!K23</f>
        <v/>
      </c>
      <c r="I81" s="28">
        <f>BEBEPLAYS!N23</f>
        <v/>
      </c>
      <c r="J81" s="28">
        <f>BEBEPLAYS!O23</f>
        <v/>
      </c>
    </row>
    <row r="82" ht="15.75" customHeight="1" s="45">
      <c r="A82" s="25" t="inlineStr">
        <is>
          <t>BEBEPLAYS</t>
        </is>
      </c>
      <c r="B82" s="25">
        <f>BEBEPLAYS!A24</f>
        <v/>
      </c>
      <c r="C82" s="25">
        <f>BEBEPLAYS!B24</f>
        <v/>
      </c>
      <c r="D82" s="25">
        <f>BEBEPLAYS!C24</f>
        <v/>
      </c>
      <c r="E82" s="44">
        <f>BEBEPLAYS!D24</f>
        <v/>
      </c>
      <c r="F82" s="28">
        <f>BEBEPLAYS!I24</f>
        <v/>
      </c>
      <c r="G82" s="28">
        <f>BEBEPLAYS!J24</f>
        <v/>
      </c>
      <c r="H82" s="28">
        <f>BEBEPLAYS!K24</f>
        <v/>
      </c>
      <c r="I82" s="28">
        <f>BEBEPLAYS!N24</f>
        <v/>
      </c>
      <c r="J82" s="28">
        <f>BEBEPLAYS!O24</f>
        <v/>
      </c>
    </row>
    <row r="83" ht="15.75" customHeight="1" s="45">
      <c r="A83" s="25" t="inlineStr">
        <is>
          <t>BEBEPLAYS</t>
        </is>
      </c>
      <c r="B83" s="25">
        <f>BEBEPLAYS!A25</f>
        <v/>
      </c>
      <c r="C83" s="25">
        <f>BEBEPLAYS!B25</f>
        <v/>
      </c>
      <c r="D83" s="25">
        <f>BEBEPLAYS!C25</f>
        <v/>
      </c>
      <c r="E83" s="44">
        <f>BEBEPLAYS!D25</f>
        <v/>
      </c>
      <c r="F83" s="28">
        <f>BEBEPLAYS!I25</f>
        <v/>
      </c>
      <c r="G83" s="28">
        <f>BEBEPLAYS!J25</f>
        <v/>
      </c>
      <c r="H83" s="28">
        <f>BEBEPLAYS!K25</f>
        <v/>
      </c>
      <c r="I83" s="28">
        <f>BEBEPLAYS!N25</f>
        <v/>
      </c>
      <c r="J83" s="28">
        <f>BEBEPLAYS!O25</f>
        <v/>
      </c>
    </row>
    <row r="84" ht="15.75" customHeight="1" s="45">
      <c r="A84" s="25" t="inlineStr">
        <is>
          <t>BEBECATS</t>
        </is>
      </c>
      <c r="B84" s="25">
        <f>BEBECATS!A5</f>
        <v/>
      </c>
      <c r="C84" s="25">
        <f>BEBECATS!B5</f>
        <v/>
      </c>
      <c r="D84" s="25">
        <f>BEBECATS!C5</f>
        <v/>
      </c>
      <c r="E84" s="44">
        <f>BEBECATS!D5</f>
        <v/>
      </c>
      <c r="F84" s="28">
        <f>BEBECATS!I5</f>
        <v/>
      </c>
      <c r="G84" s="28">
        <f>BEBECATS!J5</f>
        <v/>
      </c>
      <c r="H84" s="28">
        <f>BEBECATS!K5</f>
        <v/>
      </c>
      <c r="I84" s="28">
        <f>BEBECATS!N5</f>
        <v/>
      </c>
      <c r="J84" s="28">
        <f>BEBECATS!O5</f>
        <v/>
      </c>
    </row>
    <row r="85" ht="15.75" customHeight="1" s="45">
      <c r="A85" s="25" t="inlineStr">
        <is>
          <t>BEBECATS</t>
        </is>
      </c>
      <c r="B85" s="25">
        <f>BEBECATS!A6</f>
        <v/>
      </c>
      <c r="C85" s="25">
        <f>BEBECATS!B6</f>
        <v/>
      </c>
      <c r="D85" s="25">
        <f>BEBECATS!C6</f>
        <v/>
      </c>
      <c r="E85" s="44">
        <f>BEBECATS!D6</f>
        <v/>
      </c>
      <c r="F85" s="28">
        <f>BEBECATS!I6</f>
        <v/>
      </c>
      <c r="G85" s="28">
        <f>BEBECATS!J6</f>
        <v/>
      </c>
      <c r="H85" s="28">
        <f>BEBECATS!K6</f>
        <v/>
      </c>
      <c r="I85" s="28">
        <f>BEBECATS!N6</f>
        <v/>
      </c>
      <c r="J85" s="28">
        <f>BEBECATS!O6</f>
        <v/>
      </c>
    </row>
    <row r="86" ht="15.75" customHeight="1" s="45">
      <c r="A86" s="25" t="inlineStr">
        <is>
          <t>BEBECATS</t>
        </is>
      </c>
      <c r="B86" s="25">
        <f>BEBECATS!A7</f>
        <v/>
      </c>
      <c r="C86" s="25">
        <f>BEBECATS!B7</f>
        <v/>
      </c>
      <c r="D86" s="25">
        <f>BEBECATS!C7</f>
        <v/>
      </c>
      <c r="E86" s="44">
        <f>BEBECATS!D7</f>
        <v/>
      </c>
      <c r="F86" s="28">
        <f>BEBECATS!I7</f>
        <v/>
      </c>
      <c r="G86" s="28">
        <f>BEBECATS!J7</f>
        <v/>
      </c>
      <c r="H86" s="28">
        <f>BEBECATS!K7</f>
        <v/>
      </c>
      <c r="I86" s="28">
        <f>BEBECATS!N7</f>
        <v/>
      </c>
      <c r="J86" s="28">
        <f>BEBECATS!O7</f>
        <v/>
      </c>
    </row>
    <row r="87" ht="15.75" customHeight="1" s="45">
      <c r="A87" s="25" t="inlineStr">
        <is>
          <t>BEBECATS</t>
        </is>
      </c>
      <c r="B87" s="25">
        <f>BEBECATS!A8</f>
        <v/>
      </c>
      <c r="C87" s="25">
        <f>BEBECATS!B8</f>
        <v/>
      </c>
      <c r="D87" s="25">
        <f>BEBECATS!C8</f>
        <v/>
      </c>
      <c r="E87" s="44">
        <f>BEBECATS!D8</f>
        <v/>
      </c>
      <c r="F87" s="28">
        <f>BEBECATS!I8</f>
        <v/>
      </c>
      <c r="G87" s="28">
        <f>BEBECATS!J8</f>
        <v/>
      </c>
      <c r="H87" s="28">
        <f>BEBECATS!K8</f>
        <v/>
      </c>
      <c r="I87" s="28">
        <f>BEBECATS!N8</f>
        <v/>
      </c>
      <c r="J87" s="28">
        <f>BEBECATS!O8</f>
        <v/>
      </c>
    </row>
    <row r="88" ht="15.75" customHeight="1" s="45">
      <c r="A88" s="25" t="inlineStr">
        <is>
          <t>BEBECATS</t>
        </is>
      </c>
      <c r="B88" s="25">
        <f>BEBECATS!A9</f>
        <v/>
      </c>
      <c r="C88" s="25">
        <f>BEBECATS!B9</f>
        <v/>
      </c>
      <c r="D88" s="25">
        <f>BEBECATS!C9</f>
        <v/>
      </c>
      <c r="E88" s="44">
        <f>BEBECATS!D9</f>
        <v/>
      </c>
      <c r="F88" s="28">
        <f>BEBECATS!I9</f>
        <v/>
      </c>
      <c r="G88" s="28">
        <f>BEBECATS!J9</f>
        <v/>
      </c>
      <c r="H88" s="28">
        <f>BEBECATS!K9</f>
        <v/>
      </c>
      <c r="I88" s="28">
        <f>BEBECATS!N9</f>
        <v/>
      </c>
      <c r="J88" s="28">
        <f>BEBECATS!O9</f>
        <v/>
      </c>
    </row>
    <row r="89" ht="15.75" customHeight="1" s="45">
      <c r="A89" s="25" t="inlineStr">
        <is>
          <t>BEBECATS</t>
        </is>
      </c>
      <c r="B89" s="25">
        <f>BEBECATS!A10</f>
        <v/>
      </c>
      <c r="C89" s="25">
        <f>BEBECATS!B10</f>
        <v/>
      </c>
      <c r="D89" s="25">
        <f>BEBECATS!C10</f>
        <v/>
      </c>
      <c r="E89" s="44">
        <f>BEBECATS!D10</f>
        <v/>
      </c>
      <c r="F89" s="28">
        <f>BEBECATS!I10</f>
        <v/>
      </c>
      <c r="G89" s="28">
        <f>BEBECATS!J10</f>
        <v/>
      </c>
      <c r="H89" s="28">
        <f>BEBECATS!K10</f>
        <v/>
      </c>
      <c r="I89" s="28">
        <f>BEBECATS!N10</f>
        <v/>
      </c>
      <c r="J89" s="28">
        <f>BEBECATS!O10</f>
        <v/>
      </c>
    </row>
    <row r="90" ht="15.75" customHeight="1" s="45">
      <c r="A90" s="25" t="inlineStr">
        <is>
          <t>BEBECATS</t>
        </is>
      </c>
      <c r="B90" s="25">
        <f>BEBECATS!A11</f>
        <v/>
      </c>
      <c r="C90" s="25">
        <f>BEBECATS!B11</f>
        <v/>
      </c>
      <c r="D90" s="25">
        <f>BEBECATS!C11</f>
        <v/>
      </c>
      <c r="E90" s="44">
        <f>BEBECATS!D11</f>
        <v/>
      </c>
      <c r="F90" s="28">
        <f>BEBECATS!I11</f>
        <v/>
      </c>
      <c r="G90" s="28">
        <f>BEBECATS!J11</f>
        <v/>
      </c>
      <c r="H90" s="28">
        <f>BEBECATS!K11</f>
        <v/>
      </c>
      <c r="I90" s="28">
        <f>BEBECATS!N11</f>
        <v/>
      </c>
      <c r="J90" s="28">
        <f>BEBECATS!O11</f>
        <v/>
      </c>
    </row>
    <row r="91" ht="15.75" customHeight="1" s="45">
      <c r="A91" s="25" t="inlineStr">
        <is>
          <t>BEBECATS</t>
        </is>
      </c>
      <c r="B91" s="25">
        <f>BEBECATS!A12</f>
        <v/>
      </c>
      <c r="C91" s="25">
        <f>BEBECATS!B12</f>
        <v/>
      </c>
      <c r="D91" s="25">
        <f>BEBECATS!C12</f>
        <v/>
      </c>
      <c r="E91" s="44">
        <f>BEBECATS!D12</f>
        <v/>
      </c>
      <c r="F91" s="28">
        <f>BEBECATS!I12</f>
        <v/>
      </c>
      <c r="G91" s="28">
        <f>BEBECATS!J12</f>
        <v/>
      </c>
      <c r="H91" s="28">
        <f>BEBECATS!K12</f>
        <v/>
      </c>
      <c r="I91" s="28">
        <f>BEBECATS!N12</f>
        <v/>
      </c>
      <c r="J91" s="28">
        <f>BEBECATS!O12</f>
        <v/>
      </c>
    </row>
    <row r="92" ht="15.75" customHeight="1" s="45">
      <c r="A92" s="25" t="inlineStr">
        <is>
          <t>BEBECATS</t>
        </is>
      </c>
      <c r="B92" s="25">
        <f>BEBECATS!A13</f>
        <v/>
      </c>
      <c r="C92" s="25">
        <f>BEBECATS!B13</f>
        <v/>
      </c>
      <c r="D92" s="25">
        <f>BEBECATS!C13</f>
        <v/>
      </c>
      <c r="E92" s="44">
        <f>BEBECATS!D13</f>
        <v/>
      </c>
      <c r="F92" s="28">
        <f>BEBECATS!I13</f>
        <v/>
      </c>
      <c r="G92" s="28">
        <f>BEBECATS!J13</f>
        <v/>
      </c>
      <c r="H92" s="28">
        <f>BEBECATS!K13</f>
        <v/>
      </c>
      <c r="I92" s="28">
        <f>BEBECATS!N13</f>
        <v/>
      </c>
      <c r="J92" s="28">
        <f>BEBECATS!O13</f>
        <v/>
      </c>
    </row>
    <row r="93" ht="15.75" customHeight="1" s="45">
      <c r="A93" s="25" t="inlineStr">
        <is>
          <t>BEBECATS</t>
        </is>
      </c>
      <c r="B93" s="25">
        <f>BEBECATS!A14</f>
        <v/>
      </c>
      <c r="C93" s="25">
        <f>BEBECATS!B14</f>
        <v/>
      </c>
      <c r="D93" s="25">
        <f>BEBECATS!C14</f>
        <v/>
      </c>
      <c r="E93" s="44">
        <f>BEBECATS!D14</f>
        <v/>
      </c>
      <c r="F93" s="28">
        <f>BEBECATS!I14</f>
        <v/>
      </c>
      <c r="G93" s="28">
        <f>BEBECATS!J14</f>
        <v/>
      </c>
      <c r="H93" s="28">
        <f>BEBECATS!K14</f>
        <v/>
      </c>
      <c r="I93" s="28">
        <f>BEBECATS!N14</f>
        <v/>
      </c>
      <c r="J93" s="28">
        <f>BEBECATS!O14</f>
        <v/>
      </c>
    </row>
    <row r="94" ht="15.75" customHeight="1" s="45">
      <c r="A94" s="25" t="inlineStr">
        <is>
          <t>BEBECATS</t>
        </is>
      </c>
      <c r="B94" s="25">
        <f>BEBECATS!A15</f>
        <v/>
      </c>
      <c r="C94" s="25">
        <f>BEBECATS!B15</f>
        <v/>
      </c>
      <c r="D94" s="25">
        <f>BEBECATS!C15</f>
        <v/>
      </c>
      <c r="E94" s="44">
        <f>BEBECATS!D15</f>
        <v/>
      </c>
      <c r="F94" s="28">
        <f>BEBECATS!I15</f>
        <v/>
      </c>
      <c r="G94" s="28">
        <f>BEBECATS!J15</f>
        <v/>
      </c>
      <c r="H94" s="28">
        <f>BEBECATS!K15</f>
        <v/>
      </c>
      <c r="I94" s="28">
        <f>BEBECATS!N15</f>
        <v/>
      </c>
      <c r="J94" s="28">
        <f>BEBECATS!O15</f>
        <v/>
      </c>
    </row>
    <row r="95" ht="15.75" customHeight="1" s="45">
      <c r="A95" s="25" t="inlineStr">
        <is>
          <t>BEBECATS</t>
        </is>
      </c>
      <c r="B95" s="25">
        <f>BEBECATS!A16</f>
        <v/>
      </c>
      <c r="C95" s="25">
        <f>BEBECATS!B16</f>
        <v/>
      </c>
      <c r="D95" s="25">
        <f>BEBECATS!C16</f>
        <v/>
      </c>
      <c r="E95" s="44">
        <f>BEBECATS!D16</f>
        <v/>
      </c>
      <c r="F95" s="28">
        <f>BEBECATS!I16</f>
        <v/>
      </c>
      <c r="G95" s="28">
        <f>BEBECATS!J16</f>
        <v/>
      </c>
      <c r="H95" s="28">
        <f>BEBECATS!K16</f>
        <v/>
      </c>
      <c r="I95" s="28">
        <f>BEBECATS!N16</f>
        <v/>
      </c>
      <c r="J95" s="28">
        <f>BEBECATS!O16</f>
        <v/>
      </c>
    </row>
    <row r="96" ht="15.75" customHeight="1" s="45">
      <c r="A96" s="25" t="inlineStr">
        <is>
          <t>BEBECATS</t>
        </is>
      </c>
      <c r="B96" s="25">
        <f>BEBECATS!A17</f>
        <v/>
      </c>
      <c r="C96" s="25">
        <f>BEBECATS!B17</f>
        <v/>
      </c>
      <c r="D96" s="25">
        <f>BEBECATS!C17</f>
        <v/>
      </c>
      <c r="E96" s="44">
        <f>BEBECATS!D17</f>
        <v/>
      </c>
      <c r="F96" s="28">
        <f>BEBECATS!I17</f>
        <v/>
      </c>
      <c r="G96" s="28">
        <f>BEBECATS!J17</f>
        <v/>
      </c>
      <c r="H96" s="28">
        <f>BEBECATS!K17</f>
        <v/>
      </c>
      <c r="I96" s="28">
        <f>BEBECATS!N17</f>
        <v/>
      </c>
      <c r="J96" s="28">
        <f>BEBECATS!O17</f>
        <v/>
      </c>
    </row>
    <row r="97" ht="15.75" customHeight="1" s="45">
      <c r="A97" s="25" t="inlineStr">
        <is>
          <t>BEBECATS</t>
        </is>
      </c>
      <c r="B97" s="25">
        <f>BEBECATS!A18</f>
        <v/>
      </c>
      <c r="C97" s="25">
        <f>BEBECATS!B18</f>
        <v/>
      </c>
      <c r="D97" s="25">
        <f>BEBECATS!C18</f>
        <v/>
      </c>
      <c r="E97" s="44">
        <f>BEBECATS!D18</f>
        <v/>
      </c>
      <c r="F97" s="28">
        <f>BEBECATS!I18</f>
        <v/>
      </c>
      <c r="G97" s="28">
        <f>BEBECATS!J18</f>
        <v/>
      </c>
      <c r="H97" s="28">
        <f>BEBECATS!K18</f>
        <v/>
      </c>
      <c r="I97" s="28">
        <f>BEBECATS!N18</f>
        <v/>
      </c>
      <c r="J97" s="28">
        <f>BEBECATS!O18</f>
        <v/>
      </c>
    </row>
    <row r="98" ht="15.75" customHeight="1" s="45">
      <c r="A98" s="25" t="inlineStr">
        <is>
          <t>BEBECATS</t>
        </is>
      </c>
      <c r="B98" s="25">
        <f>BEBECATS!A19</f>
        <v/>
      </c>
      <c r="C98" s="25">
        <f>BEBECATS!B19</f>
        <v/>
      </c>
      <c r="D98" s="25">
        <f>BEBECATS!C19</f>
        <v/>
      </c>
      <c r="E98" s="44">
        <f>BEBECATS!D19</f>
        <v/>
      </c>
      <c r="F98" s="28">
        <f>BEBECATS!I19</f>
        <v/>
      </c>
      <c r="G98" s="28">
        <f>BEBECATS!J19</f>
        <v/>
      </c>
      <c r="H98" s="28">
        <f>BEBECATS!K19</f>
        <v/>
      </c>
      <c r="I98" s="28">
        <f>BEBECATS!N19</f>
        <v/>
      </c>
      <c r="J98" s="28">
        <f>BEBECATS!O19</f>
        <v/>
      </c>
    </row>
    <row r="99" ht="15.75" customHeight="1" s="45">
      <c r="A99" s="25" t="inlineStr">
        <is>
          <t>BEBECATS</t>
        </is>
      </c>
      <c r="B99" s="25">
        <f>BEBECATS!A20</f>
        <v/>
      </c>
      <c r="C99" s="25">
        <f>BEBECATS!B20</f>
        <v/>
      </c>
      <c r="D99" s="25">
        <f>BEBECATS!C20</f>
        <v/>
      </c>
      <c r="E99" s="44">
        <f>BEBECATS!D20</f>
        <v/>
      </c>
      <c r="F99" s="28">
        <f>BEBECATS!I20</f>
        <v/>
      </c>
      <c r="G99" s="28">
        <f>BEBECATS!J20</f>
        <v/>
      </c>
      <c r="H99" s="28">
        <f>BEBECATS!K20</f>
        <v/>
      </c>
      <c r="I99" s="28">
        <f>BEBECATS!N20</f>
        <v/>
      </c>
      <c r="J99" s="28">
        <f>BEBECATS!O20</f>
        <v/>
      </c>
    </row>
    <row r="100" ht="15.75" customHeight="1" s="45">
      <c r="A100" s="25" t="inlineStr">
        <is>
          <t>BEBECATS</t>
        </is>
      </c>
      <c r="B100" s="25">
        <f>BEBECATS!A21</f>
        <v/>
      </c>
      <c r="C100" s="25">
        <f>BEBECATS!B21</f>
        <v/>
      </c>
      <c r="D100" s="25">
        <f>BEBECATS!C21</f>
        <v/>
      </c>
      <c r="E100" s="44">
        <f>BEBECATS!D21</f>
        <v/>
      </c>
      <c r="F100" s="28">
        <f>BEBECATS!I21</f>
        <v/>
      </c>
      <c r="G100" s="28">
        <f>BEBECATS!J21</f>
        <v/>
      </c>
      <c r="H100" s="28">
        <f>BEBECATS!K21</f>
        <v/>
      </c>
      <c r="I100" s="28">
        <f>BEBECATS!N21</f>
        <v/>
      </c>
      <c r="J100" s="28">
        <f>BEBECATS!O21</f>
        <v/>
      </c>
    </row>
    <row r="101" ht="15.75" customHeight="1" s="45">
      <c r="A101" s="25" t="inlineStr">
        <is>
          <t>BEBECATS</t>
        </is>
      </c>
      <c r="B101" s="25">
        <f>BEBECATS!A22</f>
        <v/>
      </c>
      <c r="C101" s="25">
        <f>BEBECATS!B22</f>
        <v/>
      </c>
      <c r="D101" s="25">
        <f>BEBECATS!C22</f>
        <v/>
      </c>
      <c r="E101" s="44">
        <f>BEBECATS!D22</f>
        <v/>
      </c>
      <c r="F101" s="28">
        <f>BEBECATS!I22</f>
        <v/>
      </c>
      <c r="G101" s="28">
        <f>BEBECATS!J22</f>
        <v/>
      </c>
      <c r="H101" s="28">
        <f>BEBECATS!K22</f>
        <v/>
      </c>
      <c r="I101" s="28">
        <f>BEBECATS!N22</f>
        <v/>
      </c>
      <c r="J101" s="28">
        <f>BEBECATS!O22</f>
        <v/>
      </c>
    </row>
    <row r="102" ht="15.75" customHeight="1" s="45">
      <c r="A102" s="25" t="inlineStr">
        <is>
          <t>BEBEDOGS</t>
        </is>
      </c>
      <c r="B102" s="25">
        <f>BEBEDOGS!A5</f>
        <v/>
      </c>
      <c r="C102" s="25">
        <f>BEBEDOGS!B5</f>
        <v/>
      </c>
      <c r="D102" s="25">
        <f>BEBEDOGS!C5</f>
        <v/>
      </c>
      <c r="E102" s="44">
        <f>BEBEDOGS!D5</f>
        <v/>
      </c>
      <c r="F102" s="28">
        <f>BEBEDOGS!I5</f>
        <v/>
      </c>
      <c r="G102" s="28">
        <f>BEBEDOGS!J5</f>
        <v/>
      </c>
      <c r="H102" s="28">
        <f>BEBEDOGS!K5</f>
        <v/>
      </c>
      <c r="I102" s="28">
        <f>BEBEDOGS!N5</f>
        <v/>
      </c>
      <c r="J102" s="28">
        <f>BEBEDOGS!O5</f>
        <v/>
      </c>
    </row>
    <row r="103" ht="15.75" customHeight="1" s="45">
      <c r="A103" s="25" t="inlineStr">
        <is>
          <t>BEBEDOGS</t>
        </is>
      </c>
      <c r="B103" s="25">
        <f>BEBEDOGS!A6</f>
        <v/>
      </c>
      <c r="C103" s="25">
        <f>BEBEDOGS!B6</f>
        <v/>
      </c>
      <c r="D103" s="25">
        <f>BEBEDOGS!C6</f>
        <v/>
      </c>
      <c r="E103" s="44">
        <f>BEBEDOGS!D6</f>
        <v/>
      </c>
      <c r="F103" s="28">
        <f>BEBEDOGS!I6</f>
        <v/>
      </c>
      <c r="G103" s="28">
        <f>BEBEDOGS!J6</f>
        <v/>
      </c>
      <c r="H103" s="28">
        <f>BEBEDOGS!K6</f>
        <v/>
      </c>
      <c r="I103" s="28">
        <f>BEBEDOGS!N6</f>
        <v/>
      </c>
      <c r="J103" s="28">
        <f>BEBEDOGS!O6</f>
        <v/>
      </c>
    </row>
    <row r="104" ht="15.75" customHeight="1" s="45">
      <c r="A104" s="25" t="inlineStr">
        <is>
          <t>BEBEDOGS</t>
        </is>
      </c>
      <c r="B104" s="25">
        <f>BEBEDOGS!A7</f>
        <v/>
      </c>
      <c r="C104" s="25">
        <f>BEBEDOGS!B7</f>
        <v/>
      </c>
      <c r="D104" s="25">
        <f>BEBEDOGS!C7</f>
        <v/>
      </c>
      <c r="E104" s="44">
        <f>BEBEDOGS!D7</f>
        <v/>
      </c>
      <c r="F104" s="28">
        <f>BEBEDOGS!I7</f>
        <v/>
      </c>
      <c r="G104" s="28">
        <f>BEBEDOGS!J7</f>
        <v/>
      </c>
      <c r="H104" s="28">
        <f>BEBEDOGS!K7</f>
        <v/>
      </c>
      <c r="I104" s="28">
        <f>BEBEDOGS!N7</f>
        <v/>
      </c>
      <c r="J104" s="28">
        <f>BEBEDOGS!O7</f>
        <v/>
      </c>
    </row>
    <row r="105" ht="15.75" customHeight="1" s="45">
      <c r="A105" s="25" t="inlineStr">
        <is>
          <t>BEBEDOGS</t>
        </is>
      </c>
      <c r="B105" s="25">
        <f>BEBEDOGS!A8</f>
        <v/>
      </c>
      <c r="C105" s="25">
        <f>BEBEDOGS!B8</f>
        <v/>
      </c>
      <c r="D105" s="25">
        <f>BEBEDOGS!C8</f>
        <v/>
      </c>
      <c r="E105" s="44">
        <f>BEBEDOGS!D8</f>
        <v/>
      </c>
      <c r="F105" s="28">
        <f>BEBEDOGS!I8</f>
        <v/>
      </c>
      <c r="G105" s="28">
        <f>BEBEDOGS!J8</f>
        <v/>
      </c>
      <c r="H105" s="28">
        <f>BEBEDOGS!K8</f>
        <v/>
      </c>
      <c r="I105" s="28">
        <f>BEBEDOGS!N8</f>
        <v/>
      </c>
      <c r="J105" s="28">
        <f>BEBEDOGS!O8</f>
        <v/>
      </c>
    </row>
    <row r="106" ht="15.75" customHeight="1" s="45">
      <c r="A106" s="25" t="inlineStr">
        <is>
          <t>BEBEDOGS</t>
        </is>
      </c>
      <c r="B106" s="25">
        <f>BEBEDOGS!A9</f>
        <v/>
      </c>
      <c r="C106" s="25">
        <f>BEBEDOGS!B9</f>
        <v/>
      </c>
      <c r="D106" s="25">
        <f>BEBEDOGS!C9</f>
        <v/>
      </c>
      <c r="E106" s="44">
        <f>BEBEDOGS!D9</f>
        <v/>
      </c>
      <c r="F106" s="28">
        <f>BEBEDOGS!I9</f>
        <v/>
      </c>
      <c r="G106" s="28">
        <f>BEBEDOGS!J9</f>
        <v/>
      </c>
      <c r="H106" s="28">
        <f>BEBEDOGS!K9</f>
        <v/>
      </c>
      <c r="I106" s="28">
        <f>BEBEDOGS!N9</f>
        <v/>
      </c>
      <c r="J106" s="28">
        <f>BEBEDOGS!O9</f>
        <v/>
      </c>
    </row>
    <row r="107" ht="15.75" customHeight="1" s="45">
      <c r="A107" s="25" t="inlineStr">
        <is>
          <t>BEBEDOGS</t>
        </is>
      </c>
      <c r="B107" s="25">
        <f>BEBEDOGS!A10</f>
        <v/>
      </c>
      <c r="C107" s="25">
        <f>BEBEDOGS!B10</f>
        <v/>
      </c>
      <c r="D107" s="25">
        <f>BEBEDOGS!C10</f>
        <v/>
      </c>
      <c r="E107" s="44">
        <f>BEBEDOGS!D10</f>
        <v/>
      </c>
      <c r="F107" s="28">
        <f>BEBEDOGS!I10</f>
        <v/>
      </c>
      <c r="G107" s="28">
        <f>BEBEDOGS!J10</f>
        <v/>
      </c>
      <c r="H107" s="28">
        <f>BEBEDOGS!K10</f>
        <v/>
      </c>
      <c r="I107" s="28">
        <f>BEBEDOGS!N10</f>
        <v/>
      </c>
      <c r="J107" s="28">
        <f>BEBEDOGS!O10</f>
        <v/>
      </c>
    </row>
    <row r="108" ht="15.75" customHeight="1" s="45">
      <c r="A108" s="25" t="inlineStr">
        <is>
          <t>BEBEDOGS</t>
        </is>
      </c>
      <c r="B108" s="25">
        <f>BEBEDOGS!A11</f>
        <v/>
      </c>
      <c r="C108" s="25">
        <f>BEBEDOGS!B11</f>
        <v/>
      </c>
      <c r="D108" s="25">
        <f>BEBEDOGS!C11</f>
        <v/>
      </c>
      <c r="E108" s="44">
        <f>BEBEDOGS!D11</f>
        <v/>
      </c>
      <c r="F108" s="28">
        <f>BEBEDOGS!I11</f>
        <v/>
      </c>
      <c r="G108" s="28">
        <f>BEBEDOGS!J11</f>
        <v/>
      </c>
      <c r="H108" s="28">
        <f>BEBEDOGS!K11</f>
        <v/>
      </c>
      <c r="I108" s="28">
        <f>BEBEDOGS!N11</f>
        <v/>
      </c>
      <c r="J108" s="28">
        <f>BEBEDOGS!O11</f>
        <v/>
      </c>
    </row>
    <row r="109" ht="15.75" customHeight="1" s="45">
      <c r="A109" s="25" t="inlineStr">
        <is>
          <t>BEBEDOGS</t>
        </is>
      </c>
      <c r="B109" s="25">
        <f>BEBEDOGS!A12</f>
        <v/>
      </c>
      <c r="C109" s="25">
        <f>BEBEDOGS!B12</f>
        <v/>
      </c>
      <c r="D109" s="25">
        <f>BEBEDOGS!C12</f>
        <v/>
      </c>
      <c r="E109" s="44">
        <f>BEBEDOGS!D12</f>
        <v/>
      </c>
      <c r="F109" s="28">
        <f>BEBEDOGS!I12</f>
        <v/>
      </c>
      <c r="G109" s="28">
        <f>BEBEDOGS!J12</f>
        <v/>
      </c>
      <c r="H109" s="28">
        <f>BEBEDOGS!K12</f>
        <v/>
      </c>
      <c r="I109" s="28">
        <f>BEBEDOGS!N12</f>
        <v/>
      </c>
      <c r="J109" s="28">
        <f>BEBEDOGS!O12</f>
        <v/>
      </c>
    </row>
    <row r="110" ht="15.75" customHeight="1" s="45">
      <c r="A110" s="25" t="inlineStr">
        <is>
          <t>BEBEDOGS</t>
        </is>
      </c>
      <c r="B110" s="25">
        <f>BEBEDOGS!A13</f>
        <v/>
      </c>
      <c r="C110" s="25">
        <f>BEBEDOGS!B13</f>
        <v/>
      </c>
      <c r="D110" s="25">
        <f>BEBEDOGS!C13</f>
        <v/>
      </c>
      <c r="E110" s="44">
        <f>BEBEDOGS!D13</f>
        <v/>
      </c>
      <c r="F110" s="28">
        <f>BEBEDOGS!I13</f>
        <v/>
      </c>
      <c r="G110" s="28">
        <f>BEBEDOGS!J13</f>
        <v/>
      </c>
      <c r="H110" s="28">
        <f>BEBEDOGS!K13</f>
        <v/>
      </c>
      <c r="I110" s="28">
        <f>BEBEDOGS!N13</f>
        <v/>
      </c>
      <c r="J110" s="28">
        <f>BEBEDOGS!O13</f>
        <v/>
      </c>
    </row>
    <row r="111" ht="15.75" customHeight="1" s="45">
      <c r="A111" s="25" t="inlineStr">
        <is>
          <t>BEBEDOGS</t>
        </is>
      </c>
      <c r="B111" s="25">
        <f>BEBEDOGS!A14</f>
        <v/>
      </c>
      <c r="C111" s="25">
        <f>BEBEDOGS!B14</f>
        <v/>
      </c>
      <c r="D111" s="25">
        <f>BEBEDOGS!C14</f>
        <v/>
      </c>
      <c r="E111" s="44">
        <f>BEBEDOGS!D14</f>
        <v/>
      </c>
      <c r="F111" s="28">
        <f>BEBEDOGS!I14</f>
        <v/>
      </c>
      <c r="G111" s="28">
        <f>BEBEDOGS!J14</f>
        <v/>
      </c>
      <c r="H111" s="28">
        <f>BEBEDOGS!K14</f>
        <v/>
      </c>
      <c r="I111" s="28">
        <f>BEBEDOGS!N14</f>
        <v/>
      </c>
      <c r="J111" s="28">
        <f>BEBEDOGS!O14</f>
        <v/>
      </c>
    </row>
    <row r="112" ht="15.75" customHeight="1" s="45">
      <c r="A112" s="25" t="inlineStr">
        <is>
          <t>BEBEDOGS</t>
        </is>
      </c>
      <c r="B112" s="25">
        <f>BEBEDOGS!A15</f>
        <v/>
      </c>
      <c r="C112" s="25">
        <f>BEBEDOGS!B15</f>
        <v/>
      </c>
      <c r="D112" s="25">
        <f>BEBEDOGS!C15</f>
        <v/>
      </c>
      <c r="E112" s="44">
        <f>BEBEDOGS!D15</f>
        <v/>
      </c>
      <c r="F112" s="28">
        <f>BEBEDOGS!I15</f>
        <v/>
      </c>
      <c r="G112" s="28">
        <f>BEBEDOGS!J15</f>
        <v/>
      </c>
      <c r="H112" s="28">
        <f>BEBEDOGS!K15</f>
        <v/>
      </c>
      <c r="I112" s="28">
        <f>BEBEDOGS!N15</f>
        <v/>
      </c>
      <c r="J112" s="28">
        <f>BEBEDOGS!O15</f>
        <v/>
      </c>
    </row>
    <row r="113" ht="15.75" customHeight="1" s="45">
      <c r="A113" s="25" t="inlineStr">
        <is>
          <t>BEBEDOGS</t>
        </is>
      </c>
      <c r="B113" s="25">
        <f>BEBEDOGS!A16</f>
        <v/>
      </c>
      <c r="C113" s="25">
        <f>BEBEDOGS!B16</f>
        <v/>
      </c>
      <c r="D113" s="25">
        <f>BEBEDOGS!C16</f>
        <v/>
      </c>
      <c r="E113" s="44">
        <f>BEBEDOGS!D16</f>
        <v/>
      </c>
      <c r="F113" s="28">
        <f>BEBEDOGS!I16</f>
        <v/>
      </c>
      <c r="G113" s="28">
        <f>BEBEDOGS!J16</f>
        <v/>
      </c>
      <c r="H113" s="28">
        <f>BEBEDOGS!K16</f>
        <v/>
      </c>
      <c r="I113" s="28">
        <f>BEBEDOGS!N16</f>
        <v/>
      </c>
      <c r="J113" s="28">
        <f>BEBEDOGS!O16</f>
        <v/>
      </c>
    </row>
    <row r="114" ht="15.75" customHeight="1" s="45">
      <c r="A114" s="25" t="inlineStr">
        <is>
          <t>BEBEDOGS</t>
        </is>
      </c>
      <c r="B114" s="25">
        <f>BEBEDOGS!A17</f>
        <v/>
      </c>
      <c r="C114" s="25">
        <f>BEBEDOGS!B17</f>
        <v/>
      </c>
      <c r="D114" s="25">
        <f>BEBEDOGS!C17</f>
        <v/>
      </c>
      <c r="E114" s="44">
        <f>BEBEDOGS!D17</f>
        <v/>
      </c>
      <c r="F114" s="28">
        <f>BEBEDOGS!I17</f>
        <v/>
      </c>
      <c r="G114" s="28">
        <f>BEBEDOGS!J17</f>
        <v/>
      </c>
      <c r="H114" s="28">
        <f>BEBEDOGS!K17</f>
        <v/>
      </c>
      <c r="I114" s="28">
        <f>BEBEDOGS!N17</f>
        <v/>
      </c>
      <c r="J114" s="28">
        <f>BEBEDOGS!O17</f>
        <v/>
      </c>
    </row>
    <row r="115" ht="15.75" customHeight="1" s="45">
      <c r="A115" s="25" t="inlineStr">
        <is>
          <t>BEBEDOGS</t>
        </is>
      </c>
      <c r="B115" s="25">
        <f>BEBEDOGS!A18</f>
        <v/>
      </c>
      <c r="C115" s="25">
        <f>BEBEDOGS!B18</f>
        <v/>
      </c>
      <c r="D115" s="25">
        <f>BEBEDOGS!C18</f>
        <v/>
      </c>
      <c r="E115" s="44">
        <f>BEBEDOGS!D18</f>
        <v/>
      </c>
      <c r="F115" s="28">
        <f>BEBEDOGS!I18</f>
        <v/>
      </c>
      <c r="G115" s="28">
        <f>BEBEDOGS!J18</f>
        <v/>
      </c>
      <c r="H115" s="28">
        <f>BEBEDOGS!K18</f>
        <v/>
      </c>
      <c r="I115" s="28">
        <f>BEBEDOGS!N18</f>
        <v/>
      </c>
      <c r="J115" s="28">
        <f>BEBEDOGS!O18</f>
        <v/>
      </c>
    </row>
    <row r="116" ht="15.75" customHeight="1" s="45">
      <c r="A116" s="25" t="inlineStr">
        <is>
          <t>BEBEDOGS</t>
        </is>
      </c>
      <c r="B116" s="25">
        <f>BEBEDOGS!A19</f>
        <v/>
      </c>
      <c r="C116" s="25">
        <f>BEBEDOGS!B19</f>
        <v/>
      </c>
      <c r="D116" s="25">
        <f>BEBEDOGS!C19</f>
        <v/>
      </c>
      <c r="E116" s="44">
        <f>BEBEDOGS!D19</f>
        <v/>
      </c>
      <c r="F116" s="28">
        <f>BEBEDOGS!I19</f>
        <v/>
      </c>
      <c r="G116" s="28">
        <f>BEBEDOGS!J19</f>
        <v/>
      </c>
      <c r="H116" s="28">
        <f>BEBEDOGS!K19</f>
        <v/>
      </c>
      <c r="I116" s="28">
        <f>BEBEDOGS!N19</f>
        <v/>
      </c>
      <c r="J116" s="28">
        <f>BEBEDOGS!O19</f>
        <v/>
      </c>
    </row>
    <row r="117" ht="15.75" customHeight="1" s="45">
      <c r="A117" s="25" t="inlineStr">
        <is>
          <t>BEBEDOGS</t>
        </is>
      </c>
      <c r="B117" s="25">
        <f>BEBEDOGS!A20</f>
        <v/>
      </c>
      <c r="C117" s="25">
        <f>BEBEDOGS!B20</f>
        <v/>
      </c>
      <c r="D117" s="25">
        <f>BEBEDOGS!C20</f>
        <v/>
      </c>
      <c r="E117" s="44">
        <f>BEBEDOGS!D20</f>
        <v/>
      </c>
      <c r="F117" s="28">
        <f>BEBEDOGS!I20</f>
        <v/>
      </c>
      <c r="G117" s="28">
        <f>BEBEDOGS!J20</f>
        <v/>
      </c>
      <c r="H117" s="28">
        <f>BEBEDOGS!K20</f>
        <v/>
      </c>
      <c r="I117" s="28">
        <f>BEBEDOGS!N20</f>
        <v/>
      </c>
      <c r="J117" s="28">
        <f>BEBEDOGS!O20</f>
        <v/>
      </c>
    </row>
    <row r="118" ht="15.75" customHeight="1" s="45">
      <c r="A118" s="25" t="inlineStr">
        <is>
          <t>BEBEMONS</t>
        </is>
      </c>
      <c r="B118" s="25">
        <f>BEBEMONS!A5</f>
        <v/>
      </c>
      <c r="C118" s="25">
        <f>BEBEMONS!B5</f>
        <v/>
      </c>
      <c r="D118" s="25">
        <f>BEBEMONS!C5</f>
        <v/>
      </c>
      <c r="E118" s="44">
        <f>BEBEMONS!D5</f>
        <v/>
      </c>
      <c r="F118" s="28">
        <f>BEBEMONS!I5</f>
        <v/>
      </c>
      <c r="G118" s="28">
        <f>BEBEMONS!J5</f>
        <v/>
      </c>
      <c r="H118" s="28">
        <f>BEBEMONS!K5</f>
        <v/>
      </c>
      <c r="I118" s="28">
        <f>BEBEMONS!N5</f>
        <v/>
      </c>
      <c r="J118" s="28">
        <f>BEBEMONS!O5</f>
        <v/>
      </c>
    </row>
    <row r="119" ht="15.75" customHeight="1" s="45">
      <c r="A119" s="25" t="inlineStr">
        <is>
          <t>BEBEMONS</t>
        </is>
      </c>
      <c r="B119" s="25">
        <f>BEBEMONS!A6</f>
        <v/>
      </c>
      <c r="C119" s="25">
        <f>BEBEMONS!B6</f>
        <v/>
      </c>
      <c r="D119" s="25">
        <f>BEBEMONS!C6</f>
        <v/>
      </c>
      <c r="E119" s="44">
        <f>BEBEMONS!D6</f>
        <v/>
      </c>
      <c r="F119" s="28">
        <f>BEBEMONS!I6</f>
        <v/>
      </c>
      <c r="G119" s="28">
        <f>BEBEMONS!J6</f>
        <v/>
      </c>
      <c r="H119" s="28">
        <f>BEBEMONS!K6</f>
        <v/>
      </c>
      <c r="I119" s="28">
        <f>BEBEMONS!N6</f>
        <v/>
      </c>
      <c r="J119" s="28">
        <f>BEBEMONS!O6</f>
        <v/>
      </c>
    </row>
    <row r="120" ht="15.75" customHeight="1" s="45">
      <c r="A120" s="25" t="inlineStr">
        <is>
          <t>BEBEMONS</t>
        </is>
      </c>
      <c r="B120" s="25">
        <f>BEBEMONS!A7</f>
        <v/>
      </c>
      <c r="C120" s="25">
        <f>BEBEMONS!B7</f>
        <v/>
      </c>
      <c r="D120" s="25">
        <f>BEBEMONS!C7</f>
        <v/>
      </c>
      <c r="E120" s="44">
        <f>BEBEMONS!D7</f>
        <v/>
      </c>
      <c r="F120" s="28">
        <f>BEBEMONS!I7</f>
        <v/>
      </c>
      <c r="G120" s="28">
        <f>BEBEMONS!J7</f>
        <v/>
      </c>
      <c r="H120" s="28">
        <f>BEBEMONS!K7</f>
        <v/>
      </c>
      <c r="I120" s="28">
        <f>BEBEMONS!N7</f>
        <v/>
      </c>
      <c r="J120" s="28">
        <f>BEBEMONS!O7</f>
        <v/>
      </c>
    </row>
    <row r="121" ht="15.75" customHeight="1" s="45">
      <c r="A121" s="25" t="inlineStr">
        <is>
          <t>BEBEMONS</t>
        </is>
      </c>
      <c r="B121" s="25">
        <f>BEBEMONS!A8</f>
        <v/>
      </c>
      <c r="C121" s="25">
        <f>BEBEMONS!B8</f>
        <v/>
      </c>
      <c r="D121" s="25">
        <f>BEBEMONS!C8</f>
        <v/>
      </c>
      <c r="E121" s="44">
        <f>BEBEMONS!D8</f>
        <v/>
      </c>
      <c r="F121" s="28">
        <f>BEBEMONS!I8</f>
        <v/>
      </c>
      <c r="G121" s="28">
        <f>BEBEMONS!J8</f>
        <v/>
      </c>
      <c r="H121" s="28">
        <f>BEBEMONS!K8</f>
        <v/>
      </c>
      <c r="I121" s="28">
        <f>BEBEMONS!N8</f>
        <v/>
      </c>
      <c r="J121" s="28">
        <f>BEBEMONS!O8</f>
        <v/>
      </c>
    </row>
    <row r="122" ht="15.75" customHeight="1" s="45">
      <c r="A122" s="25" t="inlineStr">
        <is>
          <t>BEBEMONS</t>
        </is>
      </c>
      <c r="B122" s="25">
        <f>BEBEMONS!A9</f>
        <v/>
      </c>
      <c r="C122" s="25">
        <f>BEBEMONS!B9</f>
        <v/>
      </c>
      <c r="D122" s="25">
        <f>BEBEMONS!C9</f>
        <v/>
      </c>
      <c r="E122" s="44">
        <f>BEBEMONS!D9</f>
        <v/>
      </c>
      <c r="F122" s="28">
        <f>BEBEMONS!I9</f>
        <v/>
      </c>
      <c r="G122" s="28">
        <f>BEBEMONS!J9</f>
        <v/>
      </c>
      <c r="H122" s="28">
        <f>BEBEMONS!K9</f>
        <v/>
      </c>
      <c r="I122" s="28">
        <f>BEBEMONS!N9</f>
        <v/>
      </c>
      <c r="J122" s="28">
        <f>BEBEMONS!O9</f>
        <v/>
      </c>
    </row>
    <row r="123" ht="15.75" customHeight="1" s="45">
      <c r="A123" s="25" t="inlineStr">
        <is>
          <t>BEBEMONS</t>
        </is>
      </c>
      <c r="B123" s="25">
        <f>BEBEMONS!A10</f>
        <v/>
      </c>
      <c r="C123" s="25">
        <f>BEBEMONS!B10</f>
        <v/>
      </c>
      <c r="D123" s="25">
        <f>BEBEMONS!C10</f>
        <v/>
      </c>
      <c r="E123" s="44">
        <f>BEBEMONS!D10</f>
        <v/>
      </c>
      <c r="F123" s="28">
        <f>BEBEMONS!I10</f>
        <v/>
      </c>
      <c r="G123" s="28">
        <f>BEBEMONS!J10</f>
        <v/>
      </c>
      <c r="H123" s="28">
        <f>BEBEMONS!K10</f>
        <v/>
      </c>
      <c r="I123" s="28">
        <f>BEBEMONS!N10</f>
        <v/>
      </c>
      <c r="J123" s="28">
        <f>BEBEMONS!O10</f>
        <v/>
      </c>
    </row>
    <row r="124" ht="15.75" customHeight="1" s="45">
      <c r="A124" s="25" t="inlineStr">
        <is>
          <t>BEBEMONS</t>
        </is>
      </c>
      <c r="B124" s="25">
        <f>BEBEMONS!A11</f>
        <v/>
      </c>
      <c r="C124" s="25">
        <f>BEBEMONS!B11</f>
        <v/>
      </c>
      <c r="D124" s="25">
        <f>BEBEMONS!C11</f>
        <v/>
      </c>
      <c r="E124" s="44">
        <f>BEBEMONS!D11</f>
        <v/>
      </c>
      <c r="F124" s="28">
        <f>BEBEMONS!I11</f>
        <v/>
      </c>
      <c r="G124" s="28">
        <f>BEBEMONS!J11</f>
        <v/>
      </c>
      <c r="H124" s="28">
        <f>BEBEMONS!K11</f>
        <v/>
      </c>
      <c r="I124" s="28">
        <f>BEBEMONS!N11</f>
        <v/>
      </c>
      <c r="J124" s="28">
        <f>BEBEMONS!O11</f>
        <v/>
      </c>
    </row>
    <row r="125" ht="15.75" customHeight="1" s="45">
      <c r="A125" s="25" t="inlineStr">
        <is>
          <t>BEBEMONS</t>
        </is>
      </c>
      <c r="B125" s="25">
        <f>BEBEMONS!A12</f>
        <v/>
      </c>
      <c r="C125" s="25">
        <f>BEBEMONS!B12</f>
        <v/>
      </c>
      <c r="D125" s="25">
        <f>BEBEMONS!C12</f>
        <v/>
      </c>
      <c r="E125" s="44">
        <f>BEBEMONS!D12</f>
        <v/>
      </c>
      <c r="F125" s="28">
        <f>BEBEMONS!I12</f>
        <v/>
      </c>
      <c r="G125" s="28">
        <f>BEBEMONS!J12</f>
        <v/>
      </c>
      <c r="H125" s="28">
        <f>BEBEMONS!K12</f>
        <v/>
      </c>
      <c r="I125" s="28">
        <f>BEBEMONS!N12</f>
        <v/>
      </c>
      <c r="J125" s="28">
        <f>BEBEMONS!O12</f>
        <v/>
      </c>
    </row>
    <row r="126" ht="15.75" customHeight="1" s="45">
      <c r="A126" s="25" t="inlineStr">
        <is>
          <t>BEBEMONS</t>
        </is>
      </c>
      <c r="B126" s="25">
        <f>BEBEMONS!A13</f>
        <v/>
      </c>
      <c r="C126" s="25">
        <f>BEBEMONS!B13</f>
        <v/>
      </c>
      <c r="D126" s="25">
        <f>BEBEMONS!C13</f>
        <v/>
      </c>
      <c r="E126" s="44">
        <f>BEBEMONS!D13</f>
        <v/>
      </c>
      <c r="F126" s="28">
        <f>BEBEMONS!I13</f>
        <v/>
      </c>
      <c r="G126" s="28">
        <f>BEBEMONS!J13</f>
        <v/>
      </c>
      <c r="H126" s="28">
        <f>BEBEMONS!K13</f>
        <v/>
      </c>
      <c r="I126" s="28">
        <f>BEBEMONS!N13</f>
        <v/>
      </c>
      <c r="J126" s="28">
        <f>BEBEMONS!O13</f>
        <v/>
      </c>
    </row>
    <row r="127" ht="15.75" customHeight="1" s="45">
      <c r="A127" s="25" t="inlineStr">
        <is>
          <t>BEBEMONS</t>
        </is>
      </c>
      <c r="B127" s="25">
        <f>BEBEMONS!A14</f>
        <v/>
      </c>
      <c r="C127" s="25">
        <f>BEBEMONS!B14</f>
        <v/>
      </c>
      <c r="D127" s="25">
        <f>BEBEMONS!C14</f>
        <v/>
      </c>
      <c r="E127" s="44">
        <f>BEBEMONS!D14</f>
        <v/>
      </c>
      <c r="F127" s="28">
        <f>BEBEMONS!I14</f>
        <v/>
      </c>
      <c r="G127" s="28">
        <f>BEBEMONS!J14</f>
        <v/>
      </c>
      <c r="H127" s="28">
        <f>BEBEMONS!K14</f>
        <v/>
      </c>
      <c r="I127" s="28">
        <f>BEBEMONS!N14</f>
        <v/>
      </c>
      <c r="J127" s="28">
        <f>BEBEMONS!O14</f>
        <v/>
      </c>
    </row>
    <row r="128" ht="15.75" customHeight="1" s="45">
      <c r="A128" s="25" t="inlineStr">
        <is>
          <t>BEBEMONS</t>
        </is>
      </c>
      <c r="B128" s="25">
        <f>BEBEMONS!A15</f>
        <v/>
      </c>
      <c r="C128" s="25">
        <f>BEBEMONS!B15</f>
        <v/>
      </c>
      <c r="D128" s="25">
        <f>BEBEMONS!C15</f>
        <v/>
      </c>
      <c r="E128" s="44">
        <f>BEBEMONS!D15</f>
        <v/>
      </c>
      <c r="F128" s="28">
        <f>BEBEMONS!I15</f>
        <v/>
      </c>
      <c r="G128" s="28">
        <f>BEBEMONS!J15</f>
        <v/>
      </c>
      <c r="H128" s="28">
        <f>BEBEMONS!K15</f>
        <v/>
      </c>
      <c r="I128" s="28">
        <f>BEBEMONS!N15</f>
        <v/>
      </c>
      <c r="J128" s="28">
        <f>BEBEMONS!O15</f>
        <v/>
      </c>
    </row>
    <row r="129" ht="15.75" customHeight="1" s="45">
      <c r="A129" s="25" t="inlineStr">
        <is>
          <t>BEBEMONS</t>
        </is>
      </c>
      <c r="B129" s="25">
        <f>BEBEMONS!A16</f>
        <v/>
      </c>
      <c r="C129" s="25">
        <f>BEBEMONS!B16</f>
        <v/>
      </c>
      <c r="D129" s="25">
        <f>BEBEMONS!C16</f>
        <v/>
      </c>
      <c r="E129" s="44">
        <f>BEBEMONS!D16</f>
        <v/>
      </c>
      <c r="F129" s="28">
        <f>BEBEMONS!I16</f>
        <v/>
      </c>
      <c r="G129" s="28">
        <f>BEBEMONS!J16</f>
        <v/>
      </c>
      <c r="H129" s="28">
        <f>BEBEMONS!K16</f>
        <v/>
      </c>
      <c r="I129" s="28">
        <f>BEBEMONS!N16</f>
        <v/>
      </c>
      <c r="J129" s="28">
        <f>BEBEMONS!O16</f>
        <v/>
      </c>
    </row>
    <row r="130" ht="15.75" customHeight="1" s="45">
      <c r="A130" s="25" t="inlineStr">
        <is>
          <t>BEBEMONS</t>
        </is>
      </c>
      <c r="B130" s="25">
        <f>BEBEMONS!A17</f>
        <v/>
      </c>
      <c r="C130" s="25">
        <f>BEBEMONS!B17</f>
        <v/>
      </c>
      <c r="D130" s="25">
        <f>BEBEMONS!C17</f>
        <v/>
      </c>
      <c r="E130" s="44">
        <f>BEBEMONS!D17</f>
        <v/>
      </c>
      <c r="F130" s="28">
        <f>BEBEMONS!I17</f>
        <v/>
      </c>
      <c r="G130" s="28">
        <f>BEBEMONS!J17</f>
        <v/>
      </c>
      <c r="H130" s="28">
        <f>BEBEMONS!K17</f>
        <v/>
      </c>
      <c r="I130" s="28">
        <f>BEBEMONS!N17</f>
        <v/>
      </c>
      <c r="J130" s="28">
        <f>BEBEMONS!O17</f>
        <v/>
      </c>
    </row>
    <row r="131" ht="15.75" customHeight="1" s="45">
      <c r="A131" s="25" t="inlineStr">
        <is>
          <t>BEBESAURS</t>
        </is>
      </c>
      <c r="B131" s="25">
        <f>BEBESAURS!A5</f>
        <v/>
      </c>
      <c r="C131" s="25">
        <f>BEBESAURS!B5</f>
        <v/>
      </c>
      <c r="D131" s="25">
        <f>BEBESAURS!C5</f>
        <v/>
      </c>
      <c r="E131" s="44">
        <f>BEBESAURS!D5</f>
        <v/>
      </c>
      <c r="F131" s="28">
        <f>BEBESAURS!I5</f>
        <v/>
      </c>
      <c r="G131" s="28">
        <f>BEBESAURS!J5</f>
        <v/>
      </c>
      <c r="H131" s="28">
        <f>BEBESAURS!K5</f>
        <v/>
      </c>
      <c r="I131" s="28">
        <f>BEBESAURS!N5</f>
        <v/>
      </c>
      <c r="J131" s="28">
        <f>BEBESAURS!O5</f>
        <v/>
      </c>
    </row>
    <row r="132" ht="15.75" customHeight="1" s="45">
      <c r="A132" s="25" t="inlineStr">
        <is>
          <t>BEBESAURS</t>
        </is>
      </c>
      <c r="B132" s="25">
        <f>BEBESAURS!A6</f>
        <v/>
      </c>
      <c r="C132" s="25">
        <f>BEBESAURS!B6</f>
        <v/>
      </c>
      <c r="D132" s="25">
        <f>BEBESAURS!C6</f>
        <v/>
      </c>
      <c r="E132" s="44">
        <f>BEBESAURS!D6</f>
        <v/>
      </c>
      <c r="F132" s="28">
        <f>BEBESAURS!I6</f>
        <v/>
      </c>
      <c r="G132" s="28">
        <f>BEBESAURS!J6</f>
        <v/>
      </c>
      <c r="H132" s="28">
        <f>BEBESAURS!K6</f>
        <v/>
      </c>
      <c r="I132" s="28">
        <f>BEBESAURS!N6</f>
        <v/>
      </c>
      <c r="J132" s="28">
        <f>BEBESAURS!O6</f>
        <v/>
      </c>
    </row>
    <row r="133" ht="15.75" customHeight="1" s="45">
      <c r="A133" s="25" t="inlineStr">
        <is>
          <t>BEBESAURS</t>
        </is>
      </c>
      <c r="B133" s="25">
        <f>BEBESAURS!A7</f>
        <v/>
      </c>
      <c r="C133" s="25">
        <f>BEBESAURS!B7</f>
        <v/>
      </c>
      <c r="D133" s="25">
        <f>BEBESAURS!C7</f>
        <v/>
      </c>
      <c r="E133" s="44">
        <f>BEBESAURS!D7</f>
        <v/>
      </c>
      <c r="F133" s="28">
        <f>BEBESAURS!I7</f>
        <v/>
      </c>
      <c r="G133" s="28">
        <f>BEBESAURS!J7</f>
        <v/>
      </c>
      <c r="H133" s="28">
        <f>BEBESAURS!K7</f>
        <v/>
      </c>
      <c r="I133" s="28">
        <f>BEBESAURS!N7</f>
        <v/>
      </c>
      <c r="J133" s="28">
        <f>BEBESAURS!O7</f>
        <v/>
      </c>
    </row>
    <row r="134" ht="15.75" customHeight="1" s="45">
      <c r="A134" s="25" t="inlineStr">
        <is>
          <t>BEBESAURS</t>
        </is>
      </c>
      <c r="B134" s="25">
        <f>BEBESAURS!A8</f>
        <v/>
      </c>
      <c r="C134" s="25">
        <f>BEBESAURS!B8</f>
        <v/>
      </c>
      <c r="D134" s="25">
        <f>BEBESAURS!C8</f>
        <v/>
      </c>
      <c r="E134" s="44">
        <f>BEBESAURS!D8</f>
        <v/>
      </c>
      <c r="F134" s="28">
        <f>BEBESAURS!I8</f>
        <v/>
      </c>
      <c r="G134" s="28">
        <f>BEBESAURS!J8</f>
        <v/>
      </c>
      <c r="H134" s="28">
        <f>BEBESAURS!K8</f>
        <v/>
      </c>
      <c r="I134" s="28">
        <f>BEBESAURS!N8</f>
        <v/>
      </c>
      <c r="J134" s="28">
        <f>BEBESAURS!O8</f>
        <v/>
      </c>
    </row>
    <row r="135" ht="15.75" customHeight="1" s="45">
      <c r="A135" s="25" t="inlineStr">
        <is>
          <t>BEBESAURS</t>
        </is>
      </c>
      <c r="B135" s="25">
        <f>BEBESAURS!A9</f>
        <v/>
      </c>
      <c r="C135" s="25">
        <f>BEBESAURS!B9</f>
        <v/>
      </c>
      <c r="D135" s="25">
        <f>BEBESAURS!C9</f>
        <v/>
      </c>
      <c r="E135" s="44">
        <f>BEBESAURS!D9</f>
        <v/>
      </c>
      <c r="F135" s="28">
        <f>BEBESAURS!I9</f>
        <v/>
      </c>
      <c r="G135" s="28">
        <f>BEBESAURS!J9</f>
        <v/>
      </c>
      <c r="H135" s="28">
        <f>BEBESAURS!K9</f>
        <v/>
      </c>
      <c r="I135" s="28">
        <f>BEBESAURS!N9</f>
        <v/>
      </c>
      <c r="J135" s="28">
        <f>BEBESAURS!O9</f>
        <v/>
      </c>
    </row>
    <row r="136" ht="15.75" customHeight="1" s="45">
      <c r="A136" s="25" t="inlineStr">
        <is>
          <t>BEBESAURS</t>
        </is>
      </c>
      <c r="B136" s="25">
        <f>BEBESAURS!A10</f>
        <v/>
      </c>
      <c r="C136" s="25">
        <f>BEBESAURS!B10</f>
        <v/>
      </c>
      <c r="D136" s="25">
        <f>BEBESAURS!C10</f>
        <v/>
      </c>
      <c r="E136" s="44">
        <f>BEBESAURS!D10</f>
        <v/>
      </c>
      <c r="F136" s="28">
        <f>BEBESAURS!I10</f>
        <v/>
      </c>
      <c r="G136" s="28">
        <f>BEBESAURS!J10</f>
        <v/>
      </c>
      <c r="H136" s="28">
        <f>BEBESAURS!K10</f>
        <v/>
      </c>
      <c r="I136" s="28">
        <f>BEBESAURS!N10</f>
        <v/>
      </c>
      <c r="J136" s="28">
        <f>BEBESAURS!O10</f>
        <v/>
      </c>
    </row>
    <row r="137" ht="15.75" customHeight="1" s="45">
      <c r="A137" s="25" t="inlineStr">
        <is>
          <t>BEBESAURS</t>
        </is>
      </c>
      <c r="B137" s="25">
        <f>BEBESAURS!A11</f>
        <v/>
      </c>
      <c r="C137" s="25">
        <f>BEBESAURS!B11</f>
        <v/>
      </c>
      <c r="D137" s="25">
        <f>BEBESAURS!C11</f>
        <v/>
      </c>
      <c r="E137" s="44">
        <f>BEBESAURS!D11</f>
        <v/>
      </c>
      <c r="F137" s="28">
        <f>BEBESAURS!I11</f>
        <v/>
      </c>
      <c r="G137" s="28">
        <f>BEBESAURS!J11</f>
        <v/>
      </c>
      <c r="H137" s="28">
        <f>BEBESAURS!K11</f>
        <v/>
      </c>
      <c r="I137" s="28">
        <f>BEBESAURS!N11</f>
        <v/>
      </c>
      <c r="J137" s="28">
        <f>BEBESAURS!O11</f>
        <v/>
      </c>
    </row>
    <row r="138" ht="15.75" customHeight="1" s="45">
      <c r="A138" s="25" t="inlineStr">
        <is>
          <t>BEBESAURS</t>
        </is>
      </c>
      <c r="B138" s="25">
        <f>BEBESAURS!A12</f>
        <v/>
      </c>
      <c r="C138" s="25">
        <f>BEBESAURS!B12</f>
        <v/>
      </c>
      <c r="D138" s="25">
        <f>BEBESAURS!C12</f>
        <v/>
      </c>
      <c r="E138" s="44">
        <f>BEBESAURS!D12</f>
        <v/>
      </c>
      <c r="F138" s="28">
        <f>BEBESAURS!I12</f>
        <v/>
      </c>
      <c r="G138" s="28">
        <f>BEBESAURS!J12</f>
        <v/>
      </c>
      <c r="H138" s="28">
        <f>BEBESAURS!K12</f>
        <v/>
      </c>
      <c r="I138" s="28">
        <f>BEBESAURS!N12</f>
        <v/>
      </c>
      <c r="J138" s="28">
        <f>BEBESAURS!O12</f>
        <v/>
      </c>
    </row>
    <row r="139" ht="15.75" customHeight="1" s="45">
      <c r="A139" s="25" t="inlineStr">
        <is>
          <t>BEBESAURS</t>
        </is>
      </c>
      <c r="B139" s="25">
        <f>BEBESAURS!A13</f>
        <v/>
      </c>
      <c r="C139" s="25">
        <f>BEBESAURS!B13</f>
        <v/>
      </c>
      <c r="D139" s="25">
        <f>BEBESAURS!C13</f>
        <v/>
      </c>
      <c r="E139" s="44">
        <f>BEBESAURS!D13</f>
        <v/>
      </c>
      <c r="F139" s="28">
        <f>BEBESAURS!I13</f>
        <v/>
      </c>
      <c r="G139" s="28">
        <f>BEBESAURS!J13</f>
        <v/>
      </c>
      <c r="H139" s="28">
        <f>BEBESAURS!K13</f>
        <v/>
      </c>
      <c r="I139" s="28">
        <f>BEBESAURS!N13</f>
        <v/>
      </c>
      <c r="J139" s="28">
        <f>BEBESAURS!O13</f>
        <v/>
      </c>
    </row>
    <row r="140" ht="15.75" customHeight="1" s="45">
      <c r="A140" s="25" t="inlineStr">
        <is>
          <t>BEBESAURS</t>
        </is>
      </c>
      <c r="B140" s="25">
        <f>BEBESAURS!A14</f>
        <v/>
      </c>
      <c r="C140" s="25">
        <f>BEBESAURS!B14</f>
        <v/>
      </c>
      <c r="D140" s="25">
        <f>BEBESAURS!C14</f>
        <v/>
      </c>
      <c r="E140" s="44">
        <f>BEBESAURS!D14</f>
        <v/>
      </c>
      <c r="F140" s="28">
        <f>BEBESAURS!I14</f>
        <v/>
      </c>
      <c r="G140" s="28">
        <f>BEBESAURS!J14</f>
        <v/>
      </c>
      <c r="H140" s="28">
        <f>BEBESAURS!K14</f>
        <v/>
      </c>
      <c r="I140" s="28">
        <f>BEBESAURS!N14</f>
        <v/>
      </c>
      <c r="J140" s="28">
        <f>BEBESAURS!O14</f>
        <v/>
      </c>
    </row>
    <row r="141" ht="15.75" customHeight="1" s="45">
      <c r="A141" s="25" t="inlineStr">
        <is>
          <t>BEBESAURS</t>
        </is>
      </c>
      <c r="B141" s="25">
        <f>BEBESAURS!A15</f>
        <v/>
      </c>
      <c r="C141" s="25">
        <f>BEBESAURS!B15</f>
        <v/>
      </c>
      <c r="D141" s="25">
        <f>BEBESAURS!C15</f>
        <v/>
      </c>
      <c r="E141" s="44">
        <f>BEBESAURS!D15</f>
        <v/>
      </c>
      <c r="F141" s="28">
        <f>BEBESAURS!I15</f>
        <v/>
      </c>
      <c r="G141" s="28">
        <f>BEBESAURS!J15</f>
        <v/>
      </c>
      <c r="H141" s="28">
        <f>BEBESAURS!K15</f>
        <v/>
      </c>
      <c r="I141" s="28">
        <f>BEBESAURS!N15</f>
        <v/>
      </c>
      <c r="J141" s="28">
        <f>BEBESAURS!O15</f>
        <v/>
      </c>
    </row>
    <row r="142" ht="15.75" customHeight="1" s="45">
      <c r="A142" s="25" t="inlineStr">
        <is>
          <t>BEBESAURS</t>
        </is>
      </c>
      <c r="B142" s="25">
        <f>BEBESAURS!A16</f>
        <v/>
      </c>
      <c r="C142" s="25">
        <f>BEBESAURS!B16</f>
        <v/>
      </c>
      <c r="D142" s="25">
        <f>BEBESAURS!C16</f>
        <v/>
      </c>
      <c r="E142" s="44">
        <f>BEBESAURS!D16</f>
        <v/>
      </c>
      <c r="F142" s="28">
        <f>BEBESAURS!I16</f>
        <v/>
      </c>
      <c r="G142" s="28">
        <f>BEBESAURS!J16</f>
        <v/>
      </c>
      <c r="H142" s="28">
        <f>BEBESAURS!K16</f>
        <v/>
      </c>
      <c r="I142" s="28">
        <f>BEBESAURS!N16</f>
        <v/>
      </c>
      <c r="J142" s="28">
        <f>BEBESAURS!O16</f>
        <v/>
      </c>
    </row>
    <row r="143" ht="15.75" customHeight="1" s="45">
      <c r="A143" s="25" t="inlineStr">
        <is>
          <t>BEBESAURS</t>
        </is>
      </c>
      <c r="B143" s="25">
        <f>BEBESAURS!A17</f>
        <v/>
      </c>
      <c r="C143" s="25">
        <f>BEBESAURS!B17</f>
        <v/>
      </c>
      <c r="D143" s="25">
        <f>BEBESAURS!C17</f>
        <v/>
      </c>
      <c r="E143" s="44">
        <f>BEBESAURS!D17</f>
        <v/>
      </c>
      <c r="F143" s="28">
        <f>BEBESAURS!I17</f>
        <v/>
      </c>
      <c r="G143" s="28">
        <f>BEBESAURS!J17</f>
        <v/>
      </c>
      <c r="H143" s="28">
        <f>BEBESAURS!K17</f>
        <v/>
      </c>
      <c r="I143" s="28">
        <f>BEBESAURS!N17</f>
        <v/>
      </c>
      <c r="J143" s="28">
        <f>BEBESAURS!O17</f>
        <v/>
      </c>
    </row>
    <row r="144" ht="15.75" customHeight="1" s="45">
      <c r="A144" s="25" t="inlineStr">
        <is>
          <t>BEBESAURS</t>
        </is>
      </c>
      <c r="B144" s="25">
        <f>BEBESAURS!A18</f>
        <v/>
      </c>
      <c r="C144" s="25">
        <f>BEBESAURS!B18</f>
        <v/>
      </c>
      <c r="D144" s="25">
        <f>BEBESAURS!C18</f>
        <v/>
      </c>
      <c r="E144" s="44">
        <f>BEBESAURS!D18</f>
        <v/>
      </c>
      <c r="F144" s="28">
        <f>BEBESAURS!I18</f>
        <v/>
      </c>
      <c r="G144" s="28">
        <f>BEBESAURS!J18</f>
        <v/>
      </c>
      <c r="H144" s="28">
        <f>BEBESAURS!K18</f>
        <v/>
      </c>
      <c r="I144" s="28">
        <f>BEBESAURS!N18</f>
        <v/>
      </c>
      <c r="J144" s="28">
        <f>BEBESAURS!O18</f>
        <v/>
      </c>
    </row>
    <row r="145" ht="15.75" customHeight="1" s="45">
      <c r="A145" s="25" t="inlineStr">
        <is>
          <t>BEBESAURS</t>
        </is>
      </c>
      <c r="B145" s="25">
        <f>BEBESAURS!A19</f>
        <v/>
      </c>
      <c r="C145" s="25">
        <f>BEBESAURS!B19</f>
        <v/>
      </c>
      <c r="D145" s="25">
        <f>BEBESAURS!C19</f>
        <v/>
      </c>
      <c r="E145" s="44">
        <f>BEBESAURS!D19</f>
        <v/>
      </c>
      <c r="F145" s="28">
        <f>BEBESAURS!I19</f>
        <v/>
      </c>
      <c r="G145" s="28">
        <f>BEBESAURS!J19</f>
        <v/>
      </c>
      <c r="H145" s="28">
        <f>BEBESAURS!K19</f>
        <v/>
      </c>
      <c r="I145" s="28">
        <f>BEBESAURS!N19</f>
        <v/>
      </c>
      <c r="J145" s="28">
        <f>BEBESAURS!O19</f>
        <v/>
      </c>
    </row>
    <row r="146" ht="15.75" customHeight="1" s="45"/>
    <row r="147" ht="15.75" customHeight="1" s="45"/>
    <row r="148" ht="15.75" customHeight="1" s="45"/>
    <row r="149" ht="15.75" customHeight="1" s="45"/>
    <row r="150" ht="15.75" customHeight="1" s="45"/>
    <row r="151" ht="15.75" customHeight="1" s="45"/>
    <row r="152" ht="15.75" customHeight="1" s="45"/>
    <row r="153" ht="15.75" customHeight="1" s="45"/>
    <row r="154" ht="15.75" customHeight="1" s="45"/>
    <row r="155" ht="15.75" customHeight="1" s="45"/>
    <row r="156" ht="15.75" customHeight="1" s="45"/>
    <row r="157" ht="15.75" customHeight="1" s="45"/>
    <row r="158" ht="15.75" customHeight="1" s="45"/>
    <row r="159" ht="15.75" customHeight="1" s="45"/>
    <row r="160" ht="15.75" customHeight="1" s="45"/>
    <row r="161" ht="15.75" customHeight="1" s="45"/>
    <row r="162" ht="15.75" customHeight="1" s="45"/>
    <row r="163" ht="15.75" customHeight="1" s="45"/>
    <row r="164" ht="15.75" customHeight="1" s="45"/>
    <row r="165" ht="15.75" customHeight="1" s="45"/>
    <row r="166" ht="15.75" customHeight="1" s="45"/>
    <row r="167" ht="15.75" customHeight="1" s="45"/>
    <row r="168" ht="15.75" customHeight="1" s="45"/>
    <row r="169" ht="15.75" customHeight="1" s="45"/>
    <row r="170" ht="15.75" customHeight="1" s="45"/>
    <row r="171" ht="15.75" customHeight="1" s="45"/>
    <row r="172" ht="15.75" customHeight="1" s="45"/>
    <row r="173" ht="15.75" customHeight="1" s="45"/>
    <row r="174" ht="15.75" customHeight="1" s="45"/>
    <row r="175" ht="15.75" customHeight="1" s="45"/>
    <row r="176" ht="15.75" customHeight="1" s="45"/>
    <row r="177" ht="15.75" customHeight="1" s="45"/>
    <row r="178" ht="15.75" customHeight="1" s="45"/>
    <row r="179" ht="15.75" customHeight="1" s="45"/>
    <row r="180" ht="15.75" customHeight="1" s="45"/>
    <row r="181" ht="15.75" customHeight="1" s="45"/>
    <row r="182" ht="15.75" customHeight="1" s="45"/>
    <row r="183" ht="15.75" customHeight="1" s="45"/>
    <row r="184" ht="15.75" customHeight="1" s="45"/>
    <row r="185" ht="15.75" customHeight="1" s="45"/>
    <row r="186" ht="15.75" customHeight="1" s="45"/>
    <row r="187" ht="15.75" customHeight="1" s="45"/>
    <row r="188" ht="15.75" customHeight="1" s="45"/>
    <row r="189" ht="15.75" customHeight="1" s="45"/>
    <row r="190" ht="15.75" customHeight="1" s="45"/>
    <row r="191" ht="15.75" customHeight="1" s="45"/>
    <row r="192" ht="15.75" customHeight="1" s="45"/>
    <row r="193" ht="15.75" customHeight="1" s="45"/>
    <row r="194" ht="15.75" customHeight="1" s="45"/>
    <row r="195" ht="15.75" customHeight="1" s="45"/>
    <row r="196" ht="15.75" customHeight="1" s="45"/>
    <row r="197" ht="15.75" customHeight="1" s="45"/>
    <row r="198" ht="15.75" customHeight="1" s="45"/>
    <row r="199" ht="15.75" customHeight="1" s="45"/>
    <row r="200" ht="15.75" customHeight="1" s="45"/>
    <row r="201" ht="15.75" customHeight="1" s="45"/>
    <row r="202" ht="15.75" customHeight="1" s="45"/>
    <row r="203" ht="15.75" customHeight="1" s="45"/>
    <row r="204" ht="15.75" customHeight="1" s="45"/>
    <row r="205" ht="15.75" customHeight="1" s="45"/>
    <row r="206" ht="15.75" customHeight="1" s="45"/>
    <row r="207" ht="15.75" customHeight="1" s="45"/>
    <row r="208" ht="15.75" customHeight="1" s="45"/>
    <row r="209" ht="15.75" customHeight="1" s="45"/>
    <row r="210" ht="15.75" customHeight="1" s="45"/>
    <row r="211" ht="15.75" customHeight="1" s="45"/>
    <row r="212" ht="15.75" customHeight="1" s="45"/>
    <row r="213" ht="15.75" customHeight="1" s="45"/>
    <row r="214" ht="15.75" customHeight="1" s="45"/>
    <row r="215" ht="15.75" customHeight="1" s="45"/>
    <row r="216" ht="15.75" customHeight="1" s="45"/>
    <row r="217" ht="15.75" customHeight="1" s="45"/>
    <row r="218" ht="15.75" customHeight="1" s="45"/>
    <row r="219" ht="15.75" customHeight="1" s="45"/>
    <row r="220" ht="15.75" customHeight="1" s="45"/>
    <row r="221" ht="15.75" customHeight="1" s="45"/>
    <row r="222" ht="15.75" customHeight="1" s="45"/>
    <row r="223" ht="15.75" customHeight="1" s="45"/>
    <row r="224" ht="15.75" customHeight="1" s="45"/>
    <row r="225" ht="15.75" customHeight="1" s="45"/>
    <row r="226" ht="15.75" customHeight="1" s="45"/>
    <row r="227" ht="15.75" customHeight="1" s="45"/>
    <row r="228" ht="15.75" customHeight="1" s="45"/>
    <row r="229" ht="15.75" customHeight="1" s="45"/>
    <row r="230" ht="15.75" customHeight="1" s="45"/>
    <row r="231" ht="15.75" customHeight="1" s="45"/>
    <row r="232" ht="15.75" customHeight="1" s="45"/>
    <row r="233" ht="15.75" customHeight="1" s="45"/>
    <row r="234" ht="15.75" customHeight="1" s="45"/>
    <row r="235" ht="15.75" customHeight="1" s="45"/>
    <row r="236" ht="15.75" customHeight="1" s="45"/>
    <row r="237" ht="15.75" customHeight="1" s="45"/>
    <row r="238" ht="15.75" customHeight="1" s="45"/>
    <row r="239" ht="15.75" customHeight="1" s="45"/>
    <row r="240" ht="15.75" customHeight="1" s="45"/>
    <row r="241" ht="15.75" customHeight="1" s="45"/>
    <row r="242" ht="15.75" customHeight="1" s="45"/>
    <row r="243" ht="15.75" customHeight="1" s="45"/>
    <row r="244" ht="15.75" customHeight="1" s="45"/>
    <row r="245" ht="15.75" customHeight="1" s="45"/>
    <row r="246" ht="15.75" customHeight="1" s="45"/>
    <row r="247" ht="15.75" customHeight="1" s="45"/>
    <row r="248" ht="15.75" customHeight="1" s="45"/>
    <row r="249" ht="15.75" customHeight="1" s="45"/>
    <row r="250" ht="15.75" customHeight="1" s="45"/>
    <row r="251" ht="15.75" customHeight="1" s="45"/>
    <row r="252" ht="15.75" customHeight="1" s="45"/>
    <row r="253" ht="15.75" customHeight="1" s="45"/>
    <row r="254" ht="15.75" customHeight="1" s="45"/>
    <row r="255" ht="15.75" customHeight="1" s="45"/>
    <row r="256" ht="15.75" customHeight="1" s="45"/>
    <row r="257" ht="15.75" customHeight="1" s="45"/>
    <row r="258" ht="15.75" customHeight="1" s="45"/>
    <row r="259" ht="15.75" customHeight="1" s="45"/>
    <row r="260" ht="15.75" customHeight="1" s="45"/>
    <row r="261" ht="15.75" customHeight="1" s="45"/>
    <row r="262" ht="15.75" customHeight="1" s="45"/>
    <row r="263" ht="15.75" customHeight="1" s="45"/>
    <row r="264" ht="15.75" customHeight="1" s="45"/>
    <row r="265" ht="15.75" customHeight="1" s="45"/>
    <row r="266" ht="15.75" customHeight="1" s="45"/>
    <row r="267" ht="15.75" customHeight="1" s="45"/>
    <row r="268" ht="15.75" customHeight="1" s="45"/>
    <row r="269" ht="15.75" customHeight="1" s="45"/>
    <row r="270" ht="15.75" customHeight="1" s="45"/>
    <row r="271" ht="15.75" customHeight="1" s="45"/>
    <row r="272" ht="15.75" customHeight="1" s="45"/>
    <row r="273" ht="15.75" customHeight="1" s="45"/>
    <row r="274" ht="15.75" customHeight="1" s="45"/>
    <row r="275" ht="15.75" customHeight="1" s="45"/>
    <row r="276" ht="15.75" customHeight="1" s="45"/>
    <row r="277" ht="15.75" customHeight="1" s="45"/>
    <row r="278" ht="15.75" customHeight="1" s="45"/>
    <row r="279" ht="15.75" customHeight="1" s="45"/>
    <row r="280" ht="15.75" customHeight="1" s="45"/>
    <row r="281" ht="15.75" customHeight="1" s="45"/>
    <row r="282" ht="15.75" customHeight="1" s="45"/>
    <row r="283" ht="15.75" customHeight="1" s="45"/>
    <row r="284" ht="15.75" customHeight="1" s="45"/>
    <row r="285" ht="15.75" customHeight="1" s="45"/>
    <row r="286" ht="15.75" customHeight="1" s="45"/>
    <row r="287" ht="15.75" customHeight="1" s="45"/>
    <row r="288" ht="15.75" customHeight="1" s="45"/>
    <row r="289" ht="15.75" customHeight="1" s="45"/>
    <row r="290" ht="15.75" customHeight="1" s="45"/>
    <row r="291" ht="15.75" customHeight="1" s="45"/>
    <row r="292" ht="15.75" customHeight="1" s="45"/>
    <row r="293" ht="15.75" customHeight="1" s="45"/>
    <row r="294" ht="15.75" customHeight="1" s="45"/>
    <row r="295" ht="15.75" customHeight="1" s="45"/>
    <row r="296" ht="15.75" customHeight="1" s="45"/>
    <row r="297" ht="15.75" customHeight="1" s="45"/>
    <row r="298" ht="15.75" customHeight="1" s="45"/>
    <row r="299" ht="15.75" customHeight="1" s="45"/>
    <row r="300" ht="15.75" customHeight="1" s="45"/>
    <row r="301" ht="15.75" customHeight="1" s="45"/>
    <row r="302" ht="15.75" customHeight="1" s="45"/>
    <row r="303" ht="15.75" customHeight="1" s="45"/>
    <row r="304" ht="15.75" customHeight="1" s="45"/>
    <row r="305" ht="15.75" customHeight="1" s="45"/>
    <row r="306" ht="15.75" customHeight="1" s="45"/>
    <row r="307" ht="15.75" customHeight="1" s="45"/>
    <row r="308" ht="15.75" customHeight="1" s="45"/>
    <row r="309" ht="15.75" customHeight="1" s="45"/>
    <row r="310" ht="15.75" customHeight="1" s="45"/>
    <row r="311" ht="15.75" customHeight="1" s="45"/>
    <row r="312" ht="15.75" customHeight="1" s="45"/>
    <row r="313" ht="15.75" customHeight="1" s="45"/>
    <row r="314" ht="15.75" customHeight="1" s="45"/>
    <row r="315" ht="15.75" customHeight="1" s="45"/>
    <row r="316" ht="15.75" customHeight="1" s="45"/>
    <row r="317" ht="15.75" customHeight="1" s="45"/>
    <row r="318" ht="15.75" customHeight="1" s="45"/>
    <row r="319" ht="15.75" customHeight="1" s="45"/>
    <row r="320" ht="15.75" customHeight="1" s="45"/>
    <row r="321" ht="15.75" customHeight="1" s="45"/>
    <row r="322" ht="15.75" customHeight="1" s="45"/>
    <row r="323" ht="15.75" customHeight="1" s="45"/>
    <row r="324" ht="15.75" customHeight="1" s="45"/>
    <row r="325" ht="15.75" customHeight="1" s="45"/>
    <row r="326" ht="15.75" customHeight="1" s="45"/>
    <row r="327" ht="15.75" customHeight="1" s="45"/>
    <row r="328" ht="15.75" customHeight="1" s="45"/>
    <row r="329" ht="15.75" customHeight="1" s="45"/>
    <row r="330" ht="15.75" customHeight="1" s="45"/>
    <row r="331" ht="15.75" customHeight="1" s="45"/>
    <row r="332" ht="15.75" customHeight="1" s="45"/>
    <row r="333" ht="15.75" customHeight="1" s="45"/>
    <row r="334" ht="15.75" customHeight="1" s="45"/>
    <row r="335" ht="15.75" customHeight="1" s="45"/>
    <row r="336" ht="15.75" customHeight="1" s="45"/>
    <row r="337" ht="15.75" customHeight="1" s="45"/>
    <row r="338" ht="15.75" customHeight="1" s="45"/>
    <row r="339" ht="15.75" customHeight="1" s="45"/>
    <row r="340" ht="15.75" customHeight="1" s="45"/>
    <row r="341" ht="15.75" customHeight="1" s="45"/>
    <row r="342" ht="15.75" customHeight="1" s="45"/>
    <row r="343" ht="15.75" customHeight="1" s="45"/>
    <row r="344" ht="15.75" customHeight="1" s="45"/>
    <row r="345" ht="15.75" customHeight="1" s="45"/>
    <row r="346" ht="15.75" customHeight="1" s="45"/>
    <row r="347" ht="15.75" customHeight="1" s="45"/>
    <row r="348" ht="15.75" customHeight="1" s="45"/>
    <row r="349" ht="15.75" customHeight="1" s="45"/>
    <row r="350" ht="15.75" customHeight="1" s="45"/>
    <row r="351" ht="15.75" customHeight="1" s="45"/>
    <row r="352" ht="15.75" customHeight="1" s="45"/>
    <row r="353" ht="15.75" customHeight="1" s="45"/>
    <row r="354" ht="15.75" customHeight="1" s="45"/>
    <row r="355" ht="15.75" customHeight="1" s="45"/>
    <row r="356" ht="15.75" customHeight="1" s="45"/>
    <row r="357" ht="15.75" customHeight="1" s="45"/>
    <row r="358" ht="15.75" customHeight="1" s="45"/>
    <row r="359" ht="15.75" customHeight="1" s="45"/>
    <row r="360" ht="15.75" customHeight="1" s="45"/>
    <row r="361" ht="15.75" customHeight="1" s="45"/>
    <row r="362" ht="15.75" customHeight="1" s="45"/>
    <row r="363" ht="15.75" customHeight="1" s="45"/>
    <row r="364" ht="15.75" customHeight="1" s="45"/>
    <row r="365" ht="15.75" customHeight="1" s="45"/>
    <row r="366" ht="15.75" customHeight="1" s="45"/>
    <row r="367" ht="15.75" customHeight="1" s="45"/>
    <row r="368" ht="15.75" customHeight="1" s="45"/>
    <row r="369" ht="15.75" customHeight="1" s="45"/>
    <row r="370" ht="15.75" customHeight="1" s="45"/>
    <row r="371" ht="15.75" customHeight="1" s="45"/>
    <row r="372" ht="15.75" customHeight="1" s="45"/>
    <row r="373" ht="15.75" customHeight="1" s="45"/>
    <row r="374" ht="15.75" customHeight="1" s="45"/>
    <row r="375" ht="15.75" customHeight="1" s="45"/>
    <row r="376" ht="15.75" customHeight="1" s="45"/>
    <row r="377" ht="15.75" customHeight="1" s="45"/>
    <row r="378" ht="15.75" customHeight="1" s="45"/>
    <row r="379" ht="15.75" customHeight="1" s="45"/>
    <row r="380" ht="15.75" customHeight="1" s="45"/>
    <row r="381" ht="15.75" customHeight="1" s="45"/>
    <row r="382" ht="15.75" customHeight="1" s="45"/>
    <row r="383" ht="15.75" customHeight="1" s="45"/>
    <row r="384" ht="15.75" customHeight="1" s="45"/>
    <row r="385" ht="15.75" customHeight="1" s="45"/>
    <row r="386" ht="15.75" customHeight="1" s="45"/>
    <row r="387" ht="15.75" customHeight="1" s="45"/>
    <row r="388" ht="15.75" customHeight="1" s="45"/>
    <row r="389" ht="15.75" customHeight="1" s="45"/>
    <row r="390" ht="15.75" customHeight="1" s="45"/>
    <row r="391" ht="15.75" customHeight="1" s="45"/>
    <row r="392" ht="15.75" customHeight="1" s="45"/>
    <row r="393" ht="15.75" customHeight="1" s="45"/>
    <row r="394" ht="15.75" customHeight="1" s="45"/>
    <row r="395" ht="15.75" customHeight="1" s="45"/>
    <row r="396" ht="15.75" customHeight="1" s="45"/>
    <row r="397" ht="15.75" customHeight="1" s="45"/>
    <row r="398" ht="15.75" customHeight="1" s="45"/>
    <row r="399" ht="15.75" customHeight="1" s="45"/>
    <row r="400" ht="15.75" customHeight="1" s="45"/>
    <row r="401" ht="15.75" customHeight="1" s="45"/>
    <row r="402" ht="15.75" customHeight="1" s="45"/>
    <row r="403" ht="15.75" customHeight="1" s="45"/>
    <row r="404" ht="15.75" customHeight="1" s="45"/>
    <row r="405" ht="15.75" customHeight="1" s="45"/>
    <row r="406" ht="15.75" customHeight="1" s="45"/>
    <row r="407" ht="15.75" customHeight="1" s="45"/>
    <row r="408" ht="15.75" customHeight="1" s="45"/>
    <row r="409" ht="15.75" customHeight="1" s="45"/>
    <row r="410" ht="15.75" customHeight="1" s="45"/>
    <row r="411" ht="15.75" customHeight="1" s="45"/>
    <row r="412" ht="15.75" customHeight="1" s="45"/>
    <row r="413" ht="15.75" customHeight="1" s="45"/>
    <row r="414" ht="15.75" customHeight="1" s="45"/>
    <row r="415" ht="15.75" customHeight="1" s="45"/>
    <row r="416" ht="15.75" customHeight="1" s="45"/>
    <row r="417" ht="15.75" customHeight="1" s="45"/>
    <row r="418" ht="15.75" customHeight="1" s="45"/>
    <row r="419" ht="15.75" customHeight="1" s="45"/>
    <row r="420" ht="15.75" customHeight="1" s="45"/>
    <row r="421" ht="15.75" customHeight="1" s="45"/>
    <row r="422" ht="15.75" customHeight="1" s="45"/>
    <row r="423" ht="15.75" customHeight="1" s="45"/>
    <row r="424" ht="15.75" customHeight="1" s="45"/>
    <row r="425" ht="15.75" customHeight="1" s="45"/>
    <row r="426" ht="15.75" customHeight="1" s="45"/>
    <row r="427" ht="15.75" customHeight="1" s="45"/>
    <row r="428" ht="15.75" customHeight="1" s="45"/>
    <row r="429" ht="15.75" customHeight="1" s="45"/>
    <row r="430" ht="15.75" customHeight="1" s="45"/>
    <row r="431" ht="15.75" customHeight="1" s="45"/>
    <row r="432" ht="15.75" customHeight="1" s="45"/>
    <row r="433" ht="15.75" customHeight="1" s="45"/>
    <row r="434" ht="15.75" customHeight="1" s="45"/>
    <row r="435" ht="15.75" customHeight="1" s="45"/>
    <row r="436" ht="15.75" customHeight="1" s="45"/>
    <row r="437" ht="15.75" customHeight="1" s="45"/>
    <row r="438" ht="15.75" customHeight="1" s="45"/>
    <row r="439" ht="15.75" customHeight="1" s="45"/>
    <row r="440" ht="15.75" customHeight="1" s="45"/>
    <row r="441" ht="15.75" customHeight="1" s="45"/>
    <row r="442" ht="15.75" customHeight="1" s="45"/>
    <row r="443" ht="15.75" customHeight="1" s="45"/>
    <row r="444" ht="15.75" customHeight="1" s="45"/>
    <row r="445" ht="15.75" customHeight="1" s="45"/>
    <row r="446" ht="15.75" customHeight="1" s="45"/>
    <row r="447" ht="15.75" customHeight="1" s="45"/>
    <row r="448" ht="15.75" customHeight="1" s="45"/>
    <row r="449" ht="15.75" customHeight="1" s="45"/>
    <row r="450" ht="15.75" customHeight="1" s="45"/>
    <row r="451" ht="15.75" customHeight="1" s="45"/>
    <row r="452" ht="15.75" customHeight="1" s="45"/>
    <row r="453" ht="15.75" customHeight="1" s="45"/>
    <row r="454" ht="15.75" customHeight="1" s="45"/>
    <row r="455" ht="15.75" customHeight="1" s="45"/>
    <row r="456" ht="15.75" customHeight="1" s="45"/>
    <row r="457" ht="15.75" customHeight="1" s="45"/>
    <row r="458" ht="15.75" customHeight="1" s="45"/>
    <row r="459" ht="15.75" customHeight="1" s="45"/>
    <row r="460" ht="15.75" customHeight="1" s="45"/>
    <row r="461" ht="15.75" customHeight="1" s="45"/>
    <row r="462" ht="15.75" customHeight="1" s="45"/>
    <row r="463" ht="15.75" customHeight="1" s="45"/>
    <row r="464" ht="15.75" customHeight="1" s="45"/>
    <row r="465" ht="15.75" customHeight="1" s="45"/>
    <row r="466" ht="15.75" customHeight="1" s="45"/>
    <row r="467" ht="15.75" customHeight="1" s="45"/>
    <row r="468" ht="15.75" customHeight="1" s="45"/>
    <row r="469" ht="15.75" customHeight="1" s="45"/>
    <row r="470" ht="15.75" customHeight="1" s="45"/>
    <row r="471" ht="15.75" customHeight="1" s="45"/>
    <row r="472" ht="15.75" customHeight="1" s="45"/>
    <row r="473" ht="15.75" customHeight="1" s="45"/>
    <row r="474" ht="15.75" customHeight="1" s="45"/>
    <row r="475" ht="15.75" customHeight="1" s="45"/>
    <row r="476" ht="15.75" customHeight="1" s="45"/>
    <row r="477" ht="15.75" customHeight="1" s="45"/>
    <row r="478" ht="15.75" customHeight="1" s="45"/>
    <row r="479" ht="15.75" customHeight="1" s="45"/>
    <row r="480" ht="15.75" customHeight="1" s="45"/>
    <row r="481" ht="15.75" customHeight="1" s="45"/>
    <row r="482" ht="15.75" customHeight="1" s="45"/>
    <row r="483" ht="15.75" customHeight="1" s="45"/>
    <row r="484" ht="15.75" customHeight="1" s="45"/>
    <row r="485" ht="15.75" customHeight="1" s="45"/>
    <row r="486" ht="15.75" customHeight="1" s="45"/>
    <row r="487" ht="15.75" customHeight="1" s="45"/>
    <row r="488" ht="15.75" customHeight="1" s="45"/>
    <row r="489" ht="15.75" customHeight="1" s="45"/>
    <row r="490" ht="15.75" customHeight="1" s="45"/>
    <row r="491" ht="15.75" customHeight="1" s="45"/>
    <row r="492" ht="15.75" customHeight="1" s="45"/>
    <row r="493" ht="15.75" customHeight="1" s="45"/>
    <row r="494" ht="15.75" customHeight="1" s="45"/>
    <row r="495" ht="15.75" customHeight="1" s="45"/>
    <row r="496" ht="15.75" customHeight="1" s="45"/>
    <row r="497" ht="15.75" customHeight="1" s="45"/>
    <row r="498" ht="15.75" customHeight="1" s="45"/>
    <row r="499" ht="15.75" customHeight="1" s="45"/>
    <row r="500" ht="15.75" customHeight="1" s="45"/>
    <row r="501" ht="15.75" customHeight="1" s="45"/>
    <row r="502" ht="15.75" customHeight="1" s="45"/>
    <row r="503" ht="15.75" customHeight="1" s="45"/>
    <row r="504" ht="15.75" customHeight="1" s="45"/>
    <row r="505" ht="15.75" customHeight="1" s="45"/>
    <row r="506" ht="15.75" customHeight="1" s="45"/>
    <row r="507" ht="15.75" customHeight="1" s="45"/>
    <row r="508" ht="15.75" customHeight="1" s="45"/>
    <row r="509" ht="15.75" customHeight="1" s="45"/>
    <row r="510" ht="15.75" customHeight="1" s="45"/>
    <row r="511" ht="15.75" customHeight="1" s="45"/>
    <row r="512" ht="15.75" customHeight="1" s="45"/>
    <row r="513" ht="15.75" customHeight="1" s="45"/>
    <row r="514" ht="15.75" customHeight="1" s="45"/>
    <row r="515" ht="15.75" customHeight="1" s="45"/>
    <row r="516" ht="15.75" customHeight="1" s="45"/>
    <row r="517" ht="15.75" customHeight="1" s="45"/>
    <row r="518" ht="15.75" customHeight="1" s="45"/>
    <row r="519" ht="15.75" customHeight="1" s="45"/>
    <row r="520" ht="15.75" customHeight="1" s="45"/>
    <row r="521" ht="15.75" customHeight="1" s="45"/>
    <row r="522" ht="15.75" customHeight="1" s="45"/>
    <row r="523" ht="15.75" customHeight="1" s="45"/>
    <row r="524" ht="15.75" customHeight="1" s="45"/>
    <row r="525" ht="15.75" customHeight="1" s="45"/>
    <row r="526" ht="15.75" customHeight="1" s="45"/>
    <row r="527" ht="15.75" customHeight="1" s="45"/>
    <row r="528" ht="15.75" customHeight="1" s="45"/>
    <row r="529" ht="15.75" customHeight="1" s="45"/>
    <row r="530" ht="15.75" customHeight="1" s="45"/>
    <row r="531" ht="15.75" customHeight="1" s="45"/>
    <row r="532" ht="15.75" customHeight="1" s="45"/>
    <row r="533" ht="15.75" customHeight="1" s="45"/>
    <row r="534" ht="15.75" customHeight="1" s="45"/>
    <row r="535" ht="15.75" customHeight="1" s="45"/>
    <row r="536" ht="15.75" customHeight="1" s="45"/>
    <row r="537" ht="15.75" customHeight="1" s="45"/>
    <row r="538" ht="15.75" customHeight="1" s="45"/>
    <row r="539" ht="15.75" customHeight="1" s="45"/>
    <row r="540" ht="15.75" customHeight="1" s="45"/>
    <row r="541" ht="15.75" customHeight="1" s="45"/>
    <row r="542" ht="15.75" customHeight="1" s="45"/>
    <row r="543" ht="15.75" customHeight="1" s="45"/>
    <row r="544" ht="15.75" customHeight="1" s="45"/>
    <row r="545" ht="15.75" customHeight="1" s="45"/>
    <row r="546" ht="15.75" customHeight="1" s="45"/>
    <row r="547" ht="15.75" customHeight="1" s="45"/>
    <row r="548" ht="15.75" customHeight="1" s="45"/>
    <row r="549" ht="15.75" customHeight="1" s="45"/>
    <row r="550" ht="15.75" customHeight="1" s="45"/>
    <row r="551" ht="15.75" customHeight="1" s="45"/>
    <row r="552" ht="15.75" customHeight="1" s="45"/>
    <row r="553" ht="15.75" customHeight="1" s="45"/>
    <row r="554" ht="15.75" customHeight="1" s="45"/>
    <row r="555" ht="15.75" customHeight="1" s="45"/>
    <row r="556" ht="15.75" customHeight="1" s="45"/>
    <row r="557" ht="15.75" customHeight="1" s="45"/>
    <row r="558" ht="15.75" customHeight="1" s="45"/>
    <row r="559" ht="15.75" customHeight="1" s="45"/>
    <row r="560" ht="15.75" customHeight="1" s="45"/>
    <row r="561" ht="15.75" customHeight="1" s="45"/>
    <row r="562" ht="15.75" customHeight="1" s="45"/>
    <row r="563" ht="15.75" customHeight="1" s="45"/>
    <row r="564" ht="15.75" customHeight="1" s="45"/>
    <row r="565" ht="15.75" customHeight="1" s="45"/>
    <row r="566" ht="15.75" customHeight="1" s="45"/>
    <row r="567" ht="15.75" customHeight="1" s="45"/>
    <row r="568" ht="15.75" customHeight="1" s="45"/>
    <row r="569" ht="15.75" customHeight="1" s="45"/>
    <row r="570" ht="15.75" customHeight="1" s="45"/>
    <row r="571" ht="15.75" customHeight="1" s="45"/>
    <row r="572" ht="15.75" customHeight="1" s="45"/>
    <row r="573" ht="15.75" customHeight="1" s="45"/>
    <row r="574" ht="15.75" customHeight="1" s="45"/>
    <row r="575" ht="15.75" customHeight="1" s="45"/>
    <row r="576" ht="15.75" customHeight="1" s="45"/>
    <row r="577" ht="15.75" customHeight="1" s="45"/>
    <row r="578" ht="15.75" customHeight="1" s="45"/>
    <row r="579" ht="15.75" customHeight="1" s="45"/>
    <row r="580" ht="15.75" customHeight="1" s="45"/>
    <row r="581" ht="15.75" customHeight="1" s="45"/>
    <row r="582" ht="15.75" customHeight="1" s="45"/>
    <row r="583" ht="15.75" customHeight="1" s="45"/>
    <row r="584" ht="15.75" customHeight="1" s="45"/>
    <row r="585" ht="15.75" customHeight="1" s="45"/>
    <row r="586" ht="15.75" customHeight="1" s="45"/>
    <row r="587" ht="15.75" customHeight="1" s="45"/>
    <row r="588" ht="15.75" customHeight="1" s="45"/>
    <row r="589" ht="15.75" customHeight="1" s="45"/>
    <row r="590" ht="15.75" customHeight="1" s="45"/>
    <row r="591" ht="15.75" customHeight="1" s="45"/>
    <row r="592" ht="15.75" customHeight="1" s="45"/>
    <row r="593" ht="15.75" customHeight="1" s="45"/>
    <row r="594" ht="15.75" customHeight="1" s="45"/>
    <row r="595" ht="15.75" customHeight="1" s="45"/>
    <row r="596" ht="15.75" customHeight="1" s="45"/>
    <row r="597" ht="15.75" customHeight="1" s="45"/>
    <row r="598" ht="15.75" customHeight="1" s="45"/>
    <row r="599" ht="15.75" customHeight="1" s="45"/>
    <row r="600" ht="15.75" customHeight="1" s="45"/>
    <row r="601" ht="15.75" customHeight="1" s="45"/>
    <row r="602" ht="15.75" customHeight="1" s="45"/>
    <row r="603" ht="15.75" customHeight="1" s="45"/>
    <row r="604" ht="15.75" customHeight="1" s="45"/>
    <row r="605" ht="15.75" customHeight="1" s="45"/>
    <row r="606" ht="15.75" customHeight="1" s="45"/>
    <row r="607" ht="15.75" customHeight="1" s="45"/>
    <row r="608" ht="15.75" customHeight="1" s="45"/>
    <row r="609" ht="15.75" customHeight="1" s="45"/>
    <row r="610" ht="15.75" customHeight="1" s="45"/>
    <row r="611" ht="15.75" customHeight="1" s="45"/>
    <row r="612" ht="15.75" customHeight="1" s="45"/>
    <row r="613" ht="15.75" customHeight="1" s="45"/>
    <row r="614" ht="15.75" customHeight="1" s="45"/>
    <row r="615" ht="15.75" customHeight="1" s="45"/>
    <row r="616" ht="15.75" customHeight="1" s="45"/>
    <row r="617" ht="15.75" customHeight="1" s="45"/>
    <row r="618" ht="15.75" customHeight="1" s="45"/>
    <row r="619" ht="15.75" customHeight="1" s="45"/>
    <row r="620" ht="15.75" customHeight="1" s="45"/>
    <row r="621" ht="15.75" customHeight="1" s="45"/>
    <row r="622" ht="15.75" customHeight="1" s="45"/>
    <row r="623" ht="15.75" customHeight="1" s="45"/>
    <row r="624" ht="15.75" customHeight="1" s="45"/>
    <row r="625" ht="15.75" customHeight="1" s="45"/>
    <row r="626" ht="15.75" customHeight="1" s="45"/>
    <row r="627" ht="15.75" customHeight="1" s="45"/>
    <row r="628" ht="15.75" customHeight="1" s="45"/>
    <row r="629" ht="15.75" customHeight="1" s="45"/>
    <row r="630" ht="15.75" customHeight="1" s="45"/>
    <row r="631" ht="15.75" customHeight="1" s="45"/>
    <row r="632" ht="15.75" customHeight="1" s="45"/>
    <row r="633" ht="15.75" customHeight="1" s="45"/>
    <row r="634" ht="15.75" customHeight="1" s="45"/>
    <row r="635" ht="15.75" customHeight="1" s="45"/>
    <row r="636" ht="15.75" customHeight="1" s="45"/>
    <row r="637" ht="15.75" customHeight="1" s="45"/>
    <row r="638" ht="15.75" customHeight="1" s="45"/>
    <row r="639" ht="15.75" customHeight="1" s="45"/>
    <row r="640" ht="15.75" customHeight="1" s="45"/>
    <row r="641" ht="15.75" customHeight="1" s="45"/>
    <row r="642" ht="15.75" customHeight="1" s="45"/>
    <row r="643" ht="15.75" customHeight="1" s="45"/>
    <row r="644" ht="15.75" customHeight="1" s="45"/>
    <row r="645" ht="15.75" customHeight="1" s="45"/>
    <row r="646" ht="15.75" customHeight="1" s="45"/>
    <row r="647" ht="15.75" customHeight="1" s="45"/>
    <row r="648" ht="15.75" customHeight="1" s="45"/>
    <row r="649" ht="15.75" customHeight="1" s="45"/>
    <row r="650" ht="15.75" customHeight="1" s="45"/>
    <row r="651" ht="15.75" customHeight="1" s="45"/>
    <row r="652" ht="15.75" customHeight="1" s="45"/>
    <row r="653" ht="15.75" customHeight="1" s="45"/>
    <row r="654" ht="15.75" customHeight="1" s="45"/>
    <row r="655" ht="15.75" customHeight="1" s="45"/>
    <row r="656" ht="15.75" customHeight="1" s="45"/>
    <row r="657" ht="15.75" customHeight="1" s="45"/>
    <row r="658" ht="15.75" customHeight="1" s="45"/>
    <row r="659" ht="15.75" customHeight="1" s="45"/>
    <row r="660" ht="15.75" customHeight="1" s="45"/>
    <row r="661" ht="15.75" customHeight="1" s="45"/>
    <row r="662" ht="15.75" customHeight="1" s="45"/>
    <row r="663" ht="15.75" customHeight="1" s="45"/>
    <row r="664" ht="15.75" customHeight="1" s="45"/>
    <row r="665" ht="15.75" customHeight="1" s="45"/>
    <row r="666" ht="15.75" customHeight="1" s="45"/>
    <row r="667" ht="15.75" customHeight="1" s="45"/>
    <row r="668" ht="15.75" customHeight="1" s="45"/>
    <row r="669" ht="15.75" customHeight="1" s="45"/>
    <row r="670" ht="15.75" customHeight="1" s="45"/>
    <row r="671" ht="15.75" customHeight="1" s="45"/>
    <row r="672" ht="15.75" customHeight="1" s="45"/>
    <row r="673" ht="15.75" customHeight="1" s="45"/>
    <row r="674" ht="15.75" customHeight="1" s="45"/>
    <row r="675" ht="15.75" customHeight="1" s="45"/>
    <row r="676" ht="15.75" customHeight="1" s="45"/>
    <row r="677" ht="15.75" customHeight="1" s="45"/>
    <row r="678" ht="15.75" customHeight="1" s="45"/>
    <row r="679" ht="15.75" customHeight="1" s="45"/>
    <row r="680" ht="15.75" customHeight="1" s="45"/>
    <row r="681" ht="15.75" customHeight="1" s="45"/>
    <row r="682" ht="15.75" customHeight="1" s="45"/>
    <row r="683" ht="15.75" customHeight="1" s="45"/>
    <row r="684" ht="15.75" customHeight="1" s="45"/>
    <row r="685" ht="15.75" customHeight="1" s="45"/>
    <row r="686" ht="15.75" customHeight="1" s="45"/>
    <row r="687" ht="15.75" customHeight="1" s="45"/>
    <row r="688" ht="15.75" customHeight="1" s="45"/>
    <row r="689" ht="15.75" customHeight="1" s="45"/>
    <row r="690" ht="15.75" customHeight="1" s="45"/>
    <row r="691" ht="15.75" customHeight="1" s="45"/>
    <row r="692" ht="15.75" customHeight="1" s="45"/>
    <row r="693" ht="15.75" customHeight="1" s="45"/>
    <row r="694" ht="15.75" customHeight="1" s="45"/>
    <row r="695" ht="15.75" customHeight="1" s="45"/>
    <row r="696" ht="15.75" customHeight="1" s="45"/>
    <row r="697" ht="15.75" customHeight="1" s="45"/>
    <row r="698" ht="15.75" customHeight="1" s="45"/>
    <row r="699" ht="15.75" customHeight="1" s="45"/>
    <row r="700" ht="15.75" customHeight="1" s="45"/>
    <row r="701" ht="15.75" customHeight="1" s="45"/>
    <row r="702" ht="15.75" customHeight="1" s="45"/>
    <row r="703" ht="15.75" customHeight="1" s="45"/>
    <row r="704" ht="15.75" customHeight="1" s="45"/>
    <row r="705" ht="15.75" customHeight="1" s="45"/>
    <row r="706" ht="15.75" customHeight="1" s="45"/>
    <row r="707" ht="15.75" customHeight="1" s="45"/>
    <row r="708" ht="15.75" customHeight="1" s="45"/>
    <row r="709" ht="15.75" customHeight="1" s="45"/>
    <row r="710" ht="15.75" customHeight="1" s="45"/>
    <row r="711" ht="15.75" customHeight="1" s="45"/>
    <row r="712" ht="15.75" customHeight="1" s="45"/>
    <row r="713" ht="15.75" customHeight="1" s="45"/>
    <row r="714" ht="15.75" customHeight="1" s="45"/>
    <row r="715" ht="15.75" customHeight="1" s="45"/>
    <row r="716" ht="15.75" customHeight="1" s="45"/>
    <row r="717" ht="15.75" customHeight="1" s="45"/>
    <row r="718" ht="15.75" customHeight="1" s="45"/>
    <row r="719" ht="15.75" customHeight="1" s="45"/>
    <row r="720" ht="15.75" customHeight="1" s="45"/>
    <row r="721" ht="15.75" customHeight="1" s="45"/>
    <row r="722" ht="15.75" customHeight="1" s="45"/>
    <row r="723" ht="15.75" customHeight="1" s="45"/>
    <row r="724" ht="15.75" customHeight="1" s="45"/>
    <row r="725" ht="15.75" customHeight="1" s="45"/>
    <row r="726" ht="15.75" customHeight="1" s="45"/>
    <row r="727" ht="15.75" customHeight="1" s="45"/>
    <row r="728" ht="15.75" customHeight="1" s="45"/>
    <row r="729" ht="15.75" customHeight="1" s="45"/>
    <row r="730" ht="15.75" customHeight="1" s="45"/>
    <row r="731" ht="15.75" customHeight="1" s="45"/>
    <row r="732" ht="15.75" customHeight="1" s="45"/>
    <row r="733" ht="15.75" customHeight="1" s="45"/>
    <row r="734" ht="15.75" customHeight="1" s="45"/>
    <row r="735" ht="15.75" customHeight="1" s="45"/>
    <row r="736" ht="15.75" customHeight="1" s="45"/>
    <row r="737" ht="15.75" customHeight="1" s="45"/>
    <row r="738" ht="15.75" customHeight="1" s="45"/>
    <row r="739" ht="15.75" customHeight="1" s="45"/>
    <row r="740" ht="15.75" customHeight="1" s="45"/>
    <row r="741" ht="15.75" customHeight="1" s="45"/>
    <row r="742" ht="15.75" customHeight="1" s="45"/>
    <row r="743" ht="15.75" customHeight="1" s="45"/>
    <row r="744" ht="15.75" customHeight="1" s="45"/>
    <row r="745" ht="15.75" customHeight="1" s="45"/>
    <row r="746" ht="15.75" customHeight="1" s="45"/>
    <row r="747" ht="15.75" customHeight="1" s="45"/>
    <row r="748" ht="15.75" customHeight="1" s="45"/>
    <row r="749" ht="15.75" customHeight="1" s="45"/>
    <row r="750" ht="15.75" customHeight="1" s="45"/>
    <row r="751" ht="15.75" customHeight="1" s="45"/>
    <row r="752" ht="15.75" customHeight="1" s="45"/>
    <row r="753" ht="15.75" customHeight="1" s="45"/>
    <row r="754" ht="15.75" customHeight="1" s="45"/>
    <row r="755" ht="15.75" customHeight="1" s="45"/>
    <row r="756" ht="15.75" customHeight="1" s="45"/>
    <row r="757" ht="15.75" customHeight="1" s="45"/>
    <row r="758" ht="15.75" customHeight="1" s="45"/>
    <row r="759" ht="15.75" customHeight="1" s="45"/>
    <row r="760" ht="15.75" customHeight="1" s="45"/>
    <row r="761" ht="15.75" customHeight="1" s="45"/>
    <row r="762" ht="15.75" customHeight="1" s="45"/>
    <row r="763" ht="15.75" customHeight="1" s="45"/>
    <row r="764" ht="15.75" customHeight="1" s="45"/>
    <row r="765" ht="15.75" customHeight="1" s="45"/>
    <row r="766" ht="15.75" customHeight="1" s="45"/>
    <row r="767" ht="15.75" customHeight="1" s="45"/>
    <row r="768" ht="15.75" customHeight="1" s="45"/>
    <row r="769" ht="15.75" customHeight="1" s="45"/>
    <row r="770" ht="15.75" customHeight="1" s="45"/>
    <row r="771" ht="15.75" customHeight="1" s="45"/>
    <row r="772" ht="15.75" customHeight="1" s="45"/>
    <row r="773" ht="15.75" customHeight="1" s="45"/>
    <row r="774" ht="15.75" customHeight="1" s="45"/>
    <row r="775" ht="15.75" customHeight="1" s="45"/>
    <row r="776" ht="15.75" customHeight="1" s="45"/>
    <row r="777" ht="15.75" customHeight="1" s="45"/>
    <row r="778" ht="15.75" customHeight="1" s="45"/>
    <row r="779" ht="15.75" customHeight="1" s="45"/>
    <row r="780" ht="15.75" customHeight="1" s="45"/>
    <row r="781" ht="15.75" customHeight="1" s="45"/>
    <row r="782" ht="15.75" customHeight="1" s="45"/>
    <row r="783" ht="15.75" customHeight="1" s="45"/>
    <row r="784" ht="15.75" customHeight="1" s="45"/>
    <row r="785" ht="15.75" customHeight="1" s="45"/>
    <row r="786" ht="15.75" customHeight="1" s="45"/>
    <row r="787" ht="15.75" customHeight="1" s="45"/>
    <row r="788" ht="15.75" customHeight="1" s="45"/>
    <row r="789" ht="15.75" customHeight="1" s="45"/>
    <row r="790" ht="15.75" customHeight="1" s="45"/>
    <row r="791" ht="15.75" customHeight="1" s="45"/>
    <row r="792" ht="15.75" customHeight="1" s="45"/>
    <row r="793" ht="15.75" customHeight="1" s="45"/>
    <row r="794" ht="15.75" customHeight="1" s="45"/>
    <row r="795" ht="15.75" customHeight="1" s="45"/>
    <row r="796" ht="15.75" customHeight="1" s="45"/>
    <row r="797" ht="15.75" customHeight="1" s="45"/>
    <row r="798" ht="15.75" customHeight="1" s="45"/>
    <row r="799" ht="15.75" customHeight="1" s="45"/>
    <row r="800" ht="15.75" customHeight="1" s="45"/>
    <row r="801" ht="15.75" customHeight="1" s="45"/>
    <row r="802" ht="15.75" customHeight="1" s="45"/>
    <row r="803" ht="15.75" customHeight="1" s="45"/>
    <row r="804" ht="15.75" customHeight="1" s="45"/>
    <row r="805" ht="15.75" customHeight="1" s="45"/>
    <row r="806" ht="15.75" customHeight="1" s="45"/>
    <row r="807" ht="15.75" customHeight="1" s="45"/>
    <row r="808" ht="15.75" customHeight="1" s="45"/>
    <row r="809" ht="15.75" customHeight="1" s="45"/>
    <row r="810" ht="15.75" customHeight="1" s="45"/>
    <row r="811" ht="15.75" customHeight="1" s="45"/>
    <row r="812" ht="15.75" customHeight="1" s="45"/>
    <row r="813" ht="15.75" customHeight="1" s="45"/>
    <row r="814" ht="15.75" customHeight="1" s="45"/>
    <row r="815" ht="15.75" customHeight="1" s="45"/>
    <row r="816" ht="15.75" customHeight="1" s="45"/>
    <row r="817" ht="15.75" customHeight="1" s="45"/>
    <row r="818" ht="15.75" customHeight="1" s="45"/>
    <row r="819" ht="15.75" customHeight="1" s="45"/>
    <row r="820" ht="15.75" customHeight="1" s="45"/>
    <row r="821" ht="15.75" customHeight="1" s="45"/>
    <row r="822" ht="15.75" customHeight="1" s="45"/>
    <row r="823" ht="15.75" customHeight="1" s="45"/>
    <row r="824" ht="15.75" customHeight="1" s="45"/>
    <row r="825" ht="15.75" customHeight="1" s="45"/>
    <row r="826" ht="15.75" customHeight="1" s="45"/>
    <row r="827" ht="15.75" customHeight="1" s="45"/>
    <row r="828" ht="15.75" customHeight="1" s="45"/>
    <row r="829" ht="15.75" customHeight="1" s="45"/>
    <row r="830" ht="15.75" customHeight="1" s="45"/>
    <row r="831" ht="15.75" customHeight="1" s="45"/>
    <row r="832" ht="15.75" customHeight="1" s="45"/>
    <row r="833" ht="15.75" customHeight="1" s="45"/>
    <row r="834" ht="15.75" customHeight="1" s="45"/>
    <row r="835" ht="15.75" customHeight="1" s="45"/>
    <row r="836" ht="15.75" customHeight="1" s="45"/>
    <row r="837" ht="15.75" customHeight="1" s="45"/>
    <row r="838" ht="15.75" customHeight="1" s="45"/>
    <row r="839" ht="15.75" customHeight="1" s="45"/>
    <row r="840" ht="15.75" customHeight="1" s="45"/>
    <row r="841" ht="15.75" customHeight="1" s="45"/>
    <row r="842" ht="15.75" customHeight="1" s="45"/>
    <row r="843" ht="15.75" customHeight="1" s="45"/>
    <row r="844" ht="15.75" customHeight="1" s="45"/>
    <row r="845" ht="15.75" customHeight="1" s="45"/>
    <row r="846" ht="15.75" customHeight="1" s="45"/>
    <row r="847" ht="15.75" customHeight="1" s="45"/>
    <row r="848" ht="15.75" customHeight="1" s="45"/>
    <row r="849" ht="15.75" customHeight="1" s="45"/>
    <row r="850" ht="15.75" customHeight="1" s="45"/>
    <row r="851" ht="15.75" customHeight="1" s="45"/>
    <row r="852" ht="15.75" customHeight="1" s="45"/>
    <row r="853" ht="15.75" customHeight="1" s="45"/>
    <row r="854" ht="15.75" customHeight="1" s="45"/>
    <row r="855" ht="15.75" customHeight="1" s="45"/>
    <row r="856" ht="15.75" customHeight="1" s="45"/>
    <row r="857" ht="15.75" customHeight="1" s="45"/>
    <row r="858" ht="15.75" customHeight="1" s="45"/>
    <row r="859" ht="15.75" customHeight="1" s="45"/>
    <row r="860" ht="15.75" customHeight="1" s="45"/>
    <row r="861" ht="15.75" customHeight="1" s="45"/>
    <row r="862" ht="15.75" customHeight="1" s="45"/>
    <row r="863" ht="15.75" customHeight="1" s="45"/>
    <row r="864" ht="15.75" customHeight="1" s="45"/>
    <row r="865" ht="15.75" customHeight="1" s="45"/>
    <row r="866" ht="15.75" customHeight="1" s="45"/>
    <row r="867" ht="15.75" customHeight="1" s="45"/>
    <row r="868" ht="15.75" customHeight="1" s="45"/>
    <row r="869" ht="15.75" customHeight="1" s="45"/>
    <row r="870" ht="15.75" customHeight="1" s="45"/>
    <row r="871" ht="15.75" customHeight="1" s="45"/>
    <row r="872" ht="15.75" customHeight="1" s="45"/>
    <row r="873" ht="15.75" customHeight="1" s="45"/>
    <row r="874" ht="15.75" customHeight="1" s="45"/>
    <row r="875" ht="15.75" customHeight="1" s="45"/>
    <row r="876" ht="15.75" customHeight="1" s="45"/>
    <row r="877" ht="15.75" customHeight="1" s="45"/>
    <row r="878" ht="15.75" customHeight="1" s="45"/>
    <row r="879" ht="15.75" customHeight="1" s="45"/>
    <row r="880" ht="15.75" customHeight="1" s="45"/>
    <row r="881" ht="15.75" customHeight="1" s="45"/>
    <row r="882" ht="15.75" customHeight="1" s="45"/>
    <row r="883" ht="15.75" customHeight="1" s="45"/>
    <row r="884" ht="15.75" customHeight="1" s="45"/>
    <row r="885" ht="15.75" customHeight="1" s="45"/>
    <row r="886" ht="15.75" customHeight="1" s="45"/>
    <row r="887" ht="15.75" customHeight="1" s="45"/>
    <row r="888" ht="15.75" customHeight="1" s="45"/>
    <row r="889" ht="15.75" customHeight="1" s="45"/>
    <row r="890" ht="15.75" customHeight="1" s="45"/>
    <row r="891" ht="15.75" customHeight="1" s="45"/>
    <row r="892" ht="15.75" customHeight="1" s="45"/>
    <row r="893" ht="15.75" customHeight="1" s="45"/>
    <row r="894" ht="15.75" customHeight="1" s="45"/>
    <row r="895" ht="15.75" customHeight="1" s="45"/>
    <row r="896" ht="15.75" customHeight="1" s="45"/>
    <row r="897" ht="15.75" customHeight="1" s="45"/>
    <row r="898" ht="15.75" customHeight="1" s="45"/>
    <row r="899" ht="15.75" customHeight="1" s="45"/>
    <row r="900" ht="15.75" customHeight="1" s="45"/>
    <row r="901" ht="15.75" customHeight="1" s="45"/>
    <row r="902" ht="15.75" customHeight="1" s="45"/>
    <row r="903" ht="15.75" customHeight="1" s="45"/>
    <row r="904" ht="15.75" customHeight="1" s="45"/>
    <row r="905" ht="15.75" customHeight="1" s="45"/>
    <row r="906" ht="15.75" customHeight="1" s="45"/>
    <row r="907" ht="15.75" customHeight="1" s="45"/>
    <row r="908" ht="15.75" customHeight="1" s="45"/>
    <row r="909" ht="15.75" customHeight="1" s="45"/>
    <row r="910" ht="15.75" customHeight="1" s="45"/>
    <row r="911" ht="15.75" customHeight="1" s="45"/>
    <row r="912" ht="15.75" customHeight="1" s="45"/>
    <row r="913" ht="15.75" customHeight="1" s="45"/>
    <row r="914" ht="15.75" customHeight="1" s="45"/>
    <row r="915" ht="15.75" customHeight="1" s="45"/>
    <row r="916" ht="15.75" customHeight="1" s="45"/>
    <row r="917" ht="15.75" customHeight="1" s="45"/>
    <row r="918" ht="15.75" customHeight="1" s="45"/>
    <row r="919" ht="15.75" customHeight="1" s="45"/>
    <row r="920" ht="15.75" customHeight="1" s="45"/>
    <row r="921" ht="15.75" customHeight="1" s="45"/>
    <row r="922" ht="15.75" customHeight="1" s="45"/>
    <row r="923" ht="15.75" customHeight="1" s="45"/>
    <row r="924" ht="15.75" customHeight="1" s="45"/>
    <row r="925" ht="15.75" customHeight="1" s="45"/>
    <row r="926" ht="15.75" customHeight="1" s="45"/>
    <row r="927" ht="15.75" customHeight="1" s="45"/>
    <row r="928" ht="15.75" customHeight="1" s="45"/>
    <row r="929" ht="15.75" customHeight="1" s="45"/>
    <row r="930" ht="15.75" customHeight="1" s="45"/>
    <row r="931" ht="15.75" customHeight="1" s="45"/>
    <row r="932" ht="15.75" customHeight="1" s="45"/>
    <row r="933" ht="15.75" customHeight="1" s="45"/>
    <row r="934" ht="15.75" customHeight="1" s="45"/>
    <row r="935" ht="15.75" customHeight="1" s="45"/>
    <row r="936" ht="15.75" customHeight="1" s="45"/>
    <row r="937" ht="15.75" customHeight="1" s="45"/>
    <row r="938" ht="15.75" customHeight="1" s="45"/>
    <row r="939" ht="15.75" customHeight="1" s="45"/>
    <row r="940" ht="15.75" customHeight="1" s="45"/>
    <row r="941" ht="15.75" customHeight="1" s="45"/>
    <row r="942" ht="15.75" customHeight="1" s="45"/>
    <row r="943" ht="15.75" customHeight="1" s="45"/>
    <row r="944" ht="15.75" customHeight="1" s="45"/>
    <row r="945" ht="15.75" customHeight="1" s="45"/>
    <row r="946" ht="15.75" customHeight="1" s="45"/>
    <row r="947" ht="15.75" customHeight="1" s="45"/>
    <row r="948" ht="15.75" customHeight="1" s="45"/>
    <row r="949" ht="15.75" customHeight="1" s="45"/>
    <row r="950" ht="15.75" customHeight="1" s="45"/>
    <row r="951" ht="15.75" customHeight="1" s="45"/>
    <row r="952" ht="15.75" customHeight="1" s="45"/>
    <row r="953" ht="15.75" customHeight="1" s="45"/>
    <row r="954" ht="15.75" customHeight="1" s="45"/>
    <row r="955" ht="15.75" customHeight="1" s="45"/>
    <row r="956" ht="15.75" customHeight="1" s="45"/>
    <row r="957" ht="15.75" customHeight="1" s="45"/>
    <row r="958" ht="15.75" customHeight="1" s="45"/>
    <row r="959" ht="15.75" customHeight="1" s="45"/>
    <row r="960" ht="15.75" customHeight="1" s="45"/>
    <row r="961" ht="15.75" customHeight="1" s="45"/>
    <row r="962" ht="15.75" customHeight="1" s="45"/>
    <row r="963" ht="15.75" customHeight="1" s="45"/>
    <row r="964" ht="15.75" customHeight="1" s="45"/>
    <row r="965" ht="15.75" customHeight="1" s="45"/>
    <row r="966" ht="15.75" customHeight="1" s="45"/>
    <row r="967" ht="15.75" customHeight="1" s="45"/>
    <row r="968" ht="15.75" customHeight="1" s="45"/>
    <row r="969" ht="15.75" customHeight="1" s="45"/>
    <row r="970" ht="15.75" customHeight="1" s="45"/>
    <row r="971" ht="15.75" customHeight="1" s="45"/>
    <row r="972" ht="15.75" customHeight="1" s="45"/>
    <row r="973" ht="15.75" customHeight="1" s="45"/>
    <row r="974" ht="15.75" customHeight="1" s="45"/>
    <row r="975" ht="15.75" customHeight="1" s="45"/>
    <row r="976" ht="15.75" customHeight="1" s="45"/>
    <row r="977" ht="15.75" customHeight="1" s="45"/>
    <row r="978" ht="15.75" customHeight="1" s="45"/>
    <row r="979" ht="15.75" customHeight="1" s="45"/>
    <row r="980" ht="15.75" customHeight="1" s="45"/>
    <row r="981" ht="15.75" customHeight="1" s="45"/>
    <row r="982" ht="15.75" customHeight="1" s="45"/>
    <row r="983" ht="15.75" customHeight="1" s="45"/>
    <row r="984" ht="15.75" customHeight="1" s="45"/>
    <row r="985" ht="15.75" customHeight="1" s="45"/>
    <row r="986" ht="15.75" customHeight="1" s="45"/>
    <row r="987" ht="15.75" customHeight="1" s="45"/>
    <row r="988" ht="15.75" customHeight="1" s="45"/>
    <row r="989" ht="15.75" customHeight="1" s="45"/>
    <row r="990" ht="15.75" customHeight="1" s="45"/>
    <row r="991" ht="15.75" customHeight="1" s="45"/>
    <row r="992" ht="15.75" customHeight="1" s="45"/>
    <row r="993" ht="15.75" customHeight="1" s="45"/>
    <row r="994" ht="15.75" customHeight="1" s="45"/>
    <row r="995" ht="15.75" customHeight="1" s="45"/>
    <row r="996" ht="15.75" customHeight="1" s="45"/>
    <row r="997" ht="15.75" customHeight="1" s="45"/>
    <row r="998" ht="15.75" customHeight="1" s="45"/>
    <row r="999" ht="15.75" customHeight="1" s="45"/>
    <row r="1000" ht="15.75" customHeight="1" s="45"/>
  </sheetData>
  <mergeCells count="2">
    <mergeCell ref="A1:J1"/>
    <mergeCell ref="A2:J2"/>
  </mergeCells>
  <conditionalFormatting sqref="J4:J145">
    <cfRule type="expression" priority="1" dxfId="4">
      <formula>$J4="LOW"</formula>
    </cfRule>
  </conditionalFormatting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2026-04-09T06:01:27Z</dcterms:created>
  <dcterms:modified xmlns:dcterms="http://purl.org/dc/terms/" xmlns:xsi="http://www.w3.org/2001/XMLSchema-instance" xsi:type="dcterms:W3CDTF">2026-04-09T06:18:31Z</dcterms:modified>
</cp:coreProperties>
</file>